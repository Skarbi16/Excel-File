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Ex5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BCA443A-8B68-411B-A558-7779439754F1}" xr6:coauthVersionLast="36" xr6:coauthVersionMax="47" xr10:uidLastSave="{00000000-0000-0000-0000-000000000000}"/>
  <bookViews>
    <workbookView xWindow="-120" yWindow="-120" windowWidth="20730" windowHeight="11160" tabRatio="853" firstSheet="7" activeTab="13" xr2:uid="{00000000-000D-0000-FFFF-FFFF00000000}"/>
  </bookViews>
  <sheets>
    <sheet name="Clustered Column" sheetId="1" r:id="rId1"/>
    <sheet name="Stacked Column" sheetId="2" r:id="rId2"/>
    <sheet name="Line" sheetId="3" r:id="rId3"/>
    <sheet name="Area" sheetId="4" r:id="rId4"/>
    <sheet name="Bar" sheetId="5" r:id="rId5"/>
    <sheet name="Pie" sheetId="6" r:id="rId6"/>
    <sheet name="Doughnut" sheetId="7" r:id="rId7"/>
    <sheet name="Treemap" sheetId="8" r:id="rId8"/>
    <sheet name="Histogram" sheetId="19" r:id="rId9"/>
    <sheet name="Sunburst" sheetId="9" r:id="rId10"/>
    <sheet name="Pareto Chart 1" sheetId="20" r:id="rId11"/>
    <sheet name="Thermometer" sheetId="23" r:id="rId12"/>
    <sheet name="3D Clyinder" sheetId="22" r:id="rId13"/>
    <sheet name="Pie Infographic" sheetId="21" r:id="rId14"/>
    <sheet name="Pareto" sheetId="10" r:id="rId15"/>
    <sheet name="Bubble" sheetId="11" r:id="rId16"/>
    <sheet name="Waterfall" sheetId="12" r:id="rId17"/>
    <sheet name="Funnel" sheetId="13" r:id="rId18"/>
    <sheet name="Stock" sheetId="14" r:id="rId19"/>
    <sheet name="Surface" sheetId="15" r:id="rId20"/>
    <sheet name="Radar" sheetId="16" r:id="rId21"/>
    <sheet name="Combo" sheetId="17" r:id="rId22"/>
    <sheet name="Map" sheetId="18" r:id="rId23"/>
  </sheets>
  <definedNames>
    <definedName name="_xlchart.v1.0" hidden="1">Treemap!$A$5:$B$14</definedName>
    <definedName name="_xlchart.v1.1" hidden="1">Treemap!$C$4</definedName>
    <definedName name="_xlchart.v1.10" hidden="1">'Pareto Chart 1'!$B$2:$B$7</definedName>
    <definedName name="_xlchart.v1.11" hidden="1">Pareto!$A$14:$A$20</definedName>
    <definedName name="_xlchart.v1.12" hidden="1">Pareto!$B$13</definedName>
    <definedName name="_xlchart.v1.13" hidden="1">Pareto!$B$14:$B$20</definedName>
    <definedName name="_xlchart.v1.2" hidden="1">Treemap!$C$5:$C$14</definedName>
    <definedName name="_xlchart.v1.3" hidden="1">Histogram!$A$4</definedName>
    <definedName name="_xlchart.v1.4" hidden="1">Histogram!$A$5:$A$31</definedName>
    <definedName name="_xlchart.v1.5" hidden="1">Sunburst!$A$5:$B$12</definedName>
    <definedName name="_xlchart.v1.6" hidden="1">Sunburst!$C$4</definedName>
    <definedName name="_xlchart.v1.7" hidden="1">Sunburst!$C$5:$C$12</definedName>
    <definedName name="_xlchart.v1.8" hidden="1">'Pareto Chart 1'!$A$2:$A$7</definedName>
    <definedName name="_xlchart.v1.9" hidden="1">'Pareto Chart 1'!$B$1</definedName>
  </definedNames>
  <calcPr calcId="191029"/>
</workbook>
</file>

<file path=xl/calcChain.xml><?xml version="1.0" encoding="utf-8"?>
<calcChain xmlns="http://schemas.openxmlformats.org/spreadsheetml/2006/main">
  <c r="C3" i="21" l="1"/>
  <c r="C4" i="21"/>
  <c r="C5" i="21"/>
  <c r="C6" i="21"/>
  <c r="C2" i="21"/>
  <c r="D3" i="20" l="1"/>
  <c r="D4" i="20"/>
  <c r="D5" i="20"/>
  <c r="D6" i="20"/>
  <c r="D7" i="20"/>
  <c r="D2" i="20"/>
  <c r="C4" i="20"/>
  <c r="C5" i="20"/>
  <c r="C6" i="20"/>
  <c r="C7" i="20" s="1"/>
  <c r="C3" i="20"/>
  <c r="C2" i="20"/>
  <c r="D15" i="10"/>
  <c r="D16" i="10"/>
  <c r="D17" i="10"/>
  <c r="D18" i="10"/>
  <c r="D19" i="10"/>
  <c r="D20" i="10"/>
  <c r="D14" i="10"/>
  <c r="C16" i="10"/>
  <c r="C17" i="10"/>
  <c r="C18" i="10" s="1"/>
  <c r="C19" i="10" s="1"/>
  <c r="C20" i="10" s="1"/>
  <c r="C15" i="10"/>
  <c r="C14" i="10"/>
</calcChain>
</file>

<file path=xl/sharedStrings.xml><?xml version="1.0" encoding="utf-8"?>
<sst xmlns="http://schemas.openxmlformats.org/spreadsheetml/2006/main" count="239" uniqueCount="158">
  <si>
    <t>Chart Description</t>
  </si>
  <si>
    <t>Used to compare values across categories side by side.</t>
  </si>
  <si>
    <t>Month</t>
  </si>
  <si>
    <t>Product A</t>
  </si>
  <si>
    <t>Product B</t>
  </si>
  <si>
    <t>Jan</t>
  </si>
  <si>
    <t>Feb</t>
  </si>
  <si>
    <t>Mar</t>
  </si>
  <si>
    <t>Apr</t>
  </si>
  <si>
    <t>Used to compare total values and contribution of each segment.</t>
  </si>
  <si>
    <t>Online</t>
  </si>
  <si>
    <t>Offline</t>
  </si>
  <si>
    <t>Used to show trends over time.</t>
  </si>
  <si>
    <t>Day</t>
  </si>
  <si>
    <t>Visitors</t>
  </si>
  <si>
    <t>Shows trend and magnitude together.</t>
  </si>
  <si>
    <t>Year</t>
  </si>
  <si>
    <t>Revenue</t>
  </si>
  <si>
    <t>Horizontal comparison of categories.</t>
  </si>
  <si>
    <t>Product</t>
  </si>
  <si>
    <t>Sales</t>
  </si>
  <si>
    <t>Mobile</t>
  </si>
  <si>
    <t>Laptop</t>
  </si>
  <si>
    <t>Shows percentage contribution.</t>
  </si>
  <si>
    <t>Category</t>
  </si>
  <si>
    <t>Amount</t>
  </si>
  <si>
    <t>Rent</t>
  </si>
  <si>
    <t>Food</t>
  </si>
  <si>
    <t>Transport</t>
  </si>
  <si>
    <t>Savings</t>
  </si>
  <si>
    <t>Pie alternative supporting multiple series.</t>
  </si>
  <si>
    <t>Department</t>
  </si>
  <si>
    <t>HR</t>
  </si>
  <si>
    <t>IT</t>
  </si>
  <si>
    <t>Marketing</t>
  </si>
  <si>
    <t>Hierarchical data comparison.</t>
  </si>
  <si>
    <t>Subcategory</t>
  </si>
  <si>
    <t>Electronics</t>
  </si>
  <si>
    <t>Home</t>
  </si>
  <si>
    <t>Furniture</t>
  </si>
  <si>
    <t>Kitchen</t>
  </si>
  <si>
    <t>Shows hierarchy in circular layout.</t>
  </si>
  <si>
    <t>Level1</t>
  </si>
  <si>
    <t>Level2</t>
  </si>
  <si>
    <t>Value</t>
  </si>
  <si>
    <t>Asia</t>
  </si>
  <si>
    <t>India</t>
  </si>
  <si>
    <t>China</t>
  </si>
  <si>
    <t>Europe</t>
  </si>
  <si>
    <t>Germany</t>
  </si>
  <si>
    <t>France</t>
  </si>
  <si>
    <t>80/20 analysis (sorted bars + cumulative line).</t>
  </si>
  <si>
    <t>Issue</t>
  </si>
  <si>
    <t>Frequency</t>
  </si>
  <si>
    <t>Late Delivery</t>
  </si>
  <si>
    <t>Damaged Product</t>
  </si>
  <si>
    <t>Wrong Item</t>
  </si>
  <si>
    <t>Other</t>
  </si>
  <si>
    <t>Shows relationship among three variables.</t>
  </si>
  <si>
    <t>Profit</t>
  </si>
  <si>
    <t>Market Size</t>
  </si>
  <si>
    <t>A</t>
  </si>
  <si>
    <t>B</t>
  </si>
  <si>
    <t>C</t>
  </si>
  <si>
    <t>Shows cumulative effect of positive and negative values.</t>
  </si>
  <si>
    <t>Stage</t>
  </si>
  <si>
    <t>Start</t>
  </si>
  <si>
    <t>Expenses</t>
  </si>
  <si>
    <t>Tax</t>
  </si>
  <si>
    <t>End</t>
  </si>
  <si>
    <t>Used for conversion stages.</t>
  </si>
  <si>
    <t>Count</t>
  </si>
  <si>
    <t>Leads</t>
  </si>
  <si>
    <t>Qualified</t>
  </si>
  <si>
    <t>Proposals</t>
  </si>
  <si>
    <t>Used for financial data.</t>
  </si>
  <si>
    <t>Date</t>
  </si>
  <si>
    <t>Open</t>
  </si>
  <si>
    <t>High</t>
  </si>
  <si>
    <t>Low</t>
  </si>
  <si>
    <t>Close</t>
  </si>
  <si>
    <t>01-Jan</t>
  </si>
  <si>
    <t>02-Jan</t>
  </si>
  <si>
    <t>03-Jan</t>
  </si>
  <si>
    <t>3D data visualization.</t>
  </si>
  <si>
    <t>X</t>
  </si>
  <si>
    <t>Y</t>
  </si>
  <si>
    <t>Z</t>
  </si>
  <si>
    <t>Performance comparison.</t>
  </si>
  <si>
    <t>Skill</t>
  </si>
  <si>
    <t>Student A</t>
  </si>
  <si>
    <t>Student B</t>
  </si>
  <si>
    <t>Math</t>
  </si>
  <si>
    <t>Science</t>
  </si>
  <si>
    <t>English</t>
  </si>
  <si>
    <t>Computer</t>
  </si>
  <si>
    <t>Combines two chart types.</t>
  </si>
  <si>
    <t>Geographical data visualization.</t>
  </si>
  <si>
    <t>Country</t>
  </si>
  <si>
    <t>USA</t>
  </si>
  <si>
    <t>UK</t>
  </si>
  <si>
    <t>May</t>
  </si>
  <si>
    <t>Jun</t>
  </si>
  <si>
    <t>Jul</t>
  </si>
  <si>
    <t>Aug</t>
  </si>
  <si>
    <t>Sep</t>
  </si>
  <si>
    <t>Oct</t>
  </si>
  <si>
    <t>Nov</t>
  </si>
  <si>
    <t>Dec</t>
  </si>
  <si>
    <t>Samsung Galaxy S25 Ultra</t>
  </si>
  <si>
    <t>Apple iPhone 17 Pro Max</t>
  </si>
  <si>
    <t>Xiaomi 15 Ultra</t>
  </si>
  <si>
    <t>Motorola Edge 70</t>
  </si>
  <si>
    <t>Realme GT 8 Pro / Pro Dream Edition</t>
  </si>
  <si>
    <t>Vivo X300 / X300 Pro</t>
  </si>
  <si>
    <t>Redmi Note 15 Series</t>
  </si>
  <si>
    <t>iQOO Z10x 5G</t>
  </si>
  <si>
    <t>OnePlus Nord CE 5</t>
  </si>
  <si>
    <t>Budget 2023</t>
  </si>
  <si>
    <t>Budget 2025</t>
  </si>
  <si>
    <t>Sofa</t>
  </si>
  <si>
    <t>TeaTable</t>
  </si>
  <si>
    <t>Africa</t>
  </si>
  <si>
    <t>Saudi Arabia</t>
  </si>
  <si>
    <t>South Africa</t>
  </si>
  <si>
    <t>Sudan</t>
  </si>
  <si>
    <t>Moroco</t>
  </si>
  <si>
    <t>Cumulative</t>
  </si>
  <si>
    <t>Cumulative %</t>
  </si>
  <si>
    <t>Poor Packaging</t>
  </si>
  <si>
    <t>No Response</t>
  </si>
  <si>
    <t>Billing Error</t>
  </si>
  <si>
    <t>Histogram - Brief Introduction</t>
  </si>
  <si>
    <t>A histogram is a graphical representation of numerical data distribution. It groups data into ranges (bins) and shows how frequently values occur.</t>
  </si>
  <si>
    <t>Marks</t>
  </si>
  <si>
    <t>Profit A</t>
  </si>
  <si>
    <t>Electricity</t>
  </si>
  <si>
    <t>Petrol</t>
  </si>
  <si>
    <t>Others</t>
  </si>
  <si>
    <t>Medical</t>
  </si>
  <si>
    <t>Side Table</t>
  </si>
  <si>
    <t>Vaccume Cleaner</t>
  </si>
  <si>
    <t>AC</t>
  </si>
  <si>
    <t>CCTV Camera</t>
  </si>
  <si>
    <t>Urdu</t>
  </si>
  <si>
    <t>Maths</t>
  </si>
  <si>
    <t>Sports</t>
  </si>
  <si>
    <t>Craft</t>
  </si>
  <si>
    <t>%</t>
  </si>
  <si>
    <t>Subjects</t>
  </si>
  <si>
    <t>Target Sales</t>
  </si>
  <si>
    <t>Actual Sales</t>
  </si>
  <si>
    <t>Keyboard</t>
  </si>
  <si>
    <t>Web Camera</t>
  </si>
  <si>
    <t>SSD</t>
  </si>
  <si>
    <t>NVME</t>
  </si>
  <si>
    <t>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</si>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</sst>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/>
    <xf numFmtId="10" fontId="0" fillId="0" borderId="0" xfId="1" applyNumberFormat="1" applyFont="1"/>
    <xf numFmtId="9" fontId="0" fillId="0" borderId="0" xfId="0" applyNumberFormat="1"/>
    <xf numFmtId="0" fontId="0" fillId="0" borderId="0" xfId="0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FFFF"/>
      <color rgb="FFE6B9B8"/>
      <color rgb="FF000000"/>
      <color rgb="FF72AF2F"/>
      <color rgb="FF568424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'Clustered Column'!$B$4</c:f>
              <c:strCache>
                <c:ptCount val="1"/>
                <c:pt idx="0">
                  <c:v>Product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'Clustered Column'!$A$5:$A$16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'Clustered Column'!$B$5:$B$16</c:f>
              <c:numCache>
                <c:formatCode>General</c:formatCode>
                <c:ptCount val="12"/>
                <c:pt idx="0">
                  <c:v>12000</c:v>
                </c:pt>
                <c:pt idx="1">
                  <c:v>14000</c:v>
                </c:pt>
                <c:pt idx="2">
                  <c:v>18000</c:v>
                </c:pt>
                <c:pt idx="3">
                  <c:v>20000</c:v>
                </c:pt>
                <c:pt idx="4">
                  <c:v>25000</c:v>
                </c:pt>
                <c:pt idx="5">
                  <c:v>22000</c:v>
                </c:pt>
                <c:pt idx="6">
                  <c:v>32000</c:v>
                </c:pt>
                <c:pt idx="7">
                  <c:v>25000</c:v>
                </c:pt>
                <c:pt idx="8">
                  <c:v>17500</c:v>
                </c:pt>
                <c:pt idx="9">
                  <c:v>11500</c:v>
                </c:pt>
                <c:pt idx="10">
                  <c:v>13500</c:v>
                </c:pt>
                <c:pt idx="11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F-4901-B6F4-2F5DACB75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3750527"/>
        <c:axId val="2128879855"/>
      </c:barChart>
      <c:barChart>
        <c:barDir val="col"/>
        <c:grouping val="clustered"/>
        <c:varyColors val="0"/>
        <c:ser>
          <c:idx val="1"/>
          <c:order val="1"/>
          <c:tx>
            <c:strRef>
              <c:f>'Clustered Column'!$D$4</c:f>
              <c:strCache>
                <c:ptCount val="1"/>
                <c:pt idx="0">
                  <c:v>Profit 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'Clustered Column'!$A$5:$A$16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'Clustered Column'!$D$5:$D$16</c:f>
              <c:numCache>
                <c:formatCode>General</c:formatCode>
                <c:ptCount val="12"/>
                <c:pt idx="0">
                  <c:v>100</c:v>
                </c:pt>
                <c:pt idx="1">
                  <c:v>1500</c:v>
                </c:pt>
                <c:pt idx="2">
                  <c:v>2500</c:v>
                </c:pt>
                <c:pt idx="3">
                  <c:v>1000</c:v>
                </c:pt>
                <c:pt idx="4">
                  <c:v>100</c:v>
                </c:pt>
                <c:pt idx="5">
                  <c:v>250</c:v>
                </c:pt>
                <c:pt idx="6">
                  <c:v>300</c:v>
                </c:pt>
                <c:pt idx="7">
                  <c:v>150</c:v>
                </c:pt>
                <c:pt idx="8">
                  <c:v>222</c:v>
                </c:pt>
                <c:pt idx="9">
                  <c:v>210</c:v>
                </c:pt>
                <c:pt idx="10">
                  <c:v>220</c:v>
                </c:pt>
                <c:pt idx="11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F-4901-B6F4-2F5DACB75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56989823"/>
        <c:axId val="37323583"/>
      </c:barChart>
      <c:catAx>
        <c:axId val="337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879855"/>
        <c:crosses val="autoZero"/>
        <c:auto val="1"/>
        <c:lblAlgn val="ctr"/>
        <c:lblOffset val="100"/>
        <c:noMultiLvlLbl val="0"/>
      </c:catAx>
      <c:valAx>
        <c:axId val="21288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0527"/>
        <c:crosses val="autoZero"/>
        <c:crossBetween val="between"/>
      </c:valAx>
      <c:valAx>
        <c:axId val="373235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989823"/>
        <c:crosses val="max"/>
        <c:crossBetween val="between"/>
      </c:valAx>
      <c:catAx>
        <c:axId val="2056989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323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Line!$B$4</c:f>
              <c:strCache>
                <c:ptCount val="1"/>
                <c:pt idx="0">
                  <c:v>Visitors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Line!$A$5:$A$55</c:f>
              <c:numCache>
                <c:formatCode>d\-mmm\-yy</c:formatCode>
                <c:ptCount val="51"/>
                <c:pt idx="0">
                  <c:v>45819</c:v>
                </c:pt>
                <c:pt idx="1">
                  <c:v>45820</c:v>
                </c:pt>
                <c:pt idx="2">
                  <c:v>45821</c:v>
                </c:pt>
                <c:pt idx="3">
                  <c:v>45822</c:v>
                </c:pt>
                <c:pt idx="4">
                  <c:v>45823</c:v>
                </c:pt>
                <c:pt idx="5">
                  <c:v>45824</c:v>
                </c:pt>
                <c:pt idx="6">
                  <c:v>45825</c:v>
                </c:pt>
                <c:pt idx="7">
                  <c:v>45826</c:v>
                </c:pt>
                <c:pt idx="8">
                  <c:v>45827</c:v>
                </c:pt>
                <c:pt idx="9">
                  <c:v>45828</c:v>
                </c:pt>
                <c:pt idx="10">
                  <c:v>45829</c:v>
                </c:pt>
                <c:pt idx="11">
                  <c:v>45830</c:v>
                </c:pt>
                <c:pt idx="12">
                  <c:v>45831</c:v>
                </c:pt>
                <c:pt idx="13">
                  <c:v>45832</c:v>
                </c:pt>
                <c:pt idx="14">
                  <c:v>45833</c:v>
                </c:pt>
                <c:pt idx="15">
                  <c:v>45834</c:v>
                </c:pt>
                <c:pt idx="16">
                  <c:v>45835</c:v>
                </c:pt>
                <c:pt idx="17">
                  <c:v>45836</c:v>
                </c:pt>
                <c:pt idx="18">
                  <c:v>45837</c:v>
                </c:pt>
                <c:pt idx="19">
                  <c:v>45838</c:v>
                </c:pt>
                <c:pt idx="20">
                  <c:v>45839</c:v>
                </c:pt>
                <c:pt idx="21">
                  <c:v>45840</c:v>
                </c:pt>
                <c:pt idx="22">
                  <c:v>45841</c:v>
                </c:pt>
                <c:pt idx="23">
                  <c:v>45842</c:v>
                </c:pt>
                <c:pt idx="24">
                  <c:v>45843</c:v>
                </c:pt>
                <c:pt idx="25">
                  <c:v>45844</c:v>
                </c:pt>
                <c:pt idx="26">
                  <c:v>45845</c:v>
                </c:pt>
                <c:pt idx="27">
                  <c:v>45846</c:v>
                </c:pt>
                <c:pt idx="28">
                  <c:v>45847</c:v>
                </c:pt>
                <c:pt idx="29">
                  <c:v>45848</c:v>
                </c:pt>
                <c:pt idx="30">
                  <c:v>45849</c:v>
                </c:pt>
                <c:pt idx="31">
                  <c:v>45850</c:v>
                </c:pt>
                <c:pt idx="32">
                  <c:v>45851</c:v>
                </c:pt>
                <c:pt idx="33">
                  <c:v>45852</c:v>
                </c:pt>
                <c:pt idx="34">
                  <c:v>45853</c:v>
                </c:pt>
                <c:pt idx="35">
                  <c:v>45854</c:v>
                </c:pt>
                <c:pt idx="36">
                  <c:v>45855</c:v>
                </c:pt>
                <c:pt idx="37">
                  <c:v>45856</c:v>
                </c:pt>
                <c:pt idx="38">
                  <c:v>45857</c:v>
                </c:pt>
                <c:pt idx="39">
                  <c:v>45858</c:v>
                </c:pt>
                <c:pt idx="40">
                  <c:v>45859</c:v>
                </c:pt>
                <c:pt idx="41">
                  <c:v>45860</c:v>
                </c:pt>
                <c:pt idx="42">
                  <c:v>45861</c:v>
                </c:pt>
                <c:pt idx="43">
                  <c:v>45862</c:v>
                </c:pt>
                <c:pt idx="44">
                  <c:v>45863</c:v>
                </c:pt>
                <c:pt idx="45">
                  <c:v>45864</c:v>
                </c:pt>
                <c:pt idx="46">
                  <c:v>45865</c:v>
                </c:pt>
                <c:pt idx="47">
                  <c:v>45866</c:v>
                </c:pt>
                <c:pt idx="48">
                  <c:v>45867</c:v>
                </c:pt>
                <c:pt idx="49">
                  <c:v>45868</c:v>
                </c:pt>
                <c:pt idx="50">
                  <c:v>45869</c:v>
                </c:pt>
              </c:numCache>
            </c:numRef>
          </c:cat>
          <c:val>
            <c:numRef>
              <c:f>Line!$B$5:$B$55</c:f>
              <c:numCache>
                <c:formatCode>General</c:formatCode>
                <c:ptCount val="51"/>
                <c:pt idx="0">
                  <c:v>300</c:v>
                </c:pt>
                <c:pt idx="1">
                  <c:v>420</c:v>
                </c:pt>
                <c:pt idx="2">
                  <c:v>500</c:v>
                </c:pt>
                <c:pt idx="3">
                  <c:v>480</c:v>
                </c:pt>
                <c:pt idx="4">
                  <c:v>620</c:v>
                </c:pt>
                <c:pt idx="5">
                  <c:v>886</c:v>
                </c:pt>
                <c:pt idx="6">
                  <c:v>705</c:v>
                </c:pt>
                <c:pt idx="7">
                  <c:v>768</c:v>
                </c:pt>
                <c:pt idx="8">
                  <c:v>890</c:v>
                </c:pt>
                <c:pt idx="9">
                  <c:v>424</c:v>
                </c:pt>
                <c:pt idx="10">
                  <c:v>471</c:v>
                </c:pt>
                <c:pt idx="11">
                  <c:v>148</c:v>
                </c:pt>
                <c:pt idx="12">
                  <c:v>192</c:v>
                </c:pt>
                <c:pt idx="13">
                  <c:v>195</c:v>
                </c:pt>
                <c:pt idx="14">
                  <c:v>116</c:v>
                </c:pt>
                <c:pt idx="15">
                  <c:v>910</c:v>
                </c:pt>
                <c:pt idx="16">
                  <c:v>356</c:v>
                </c:pt>
                <c:pt idx="17">
                  <c:v>281</c:v>
                </c:pt>
                <c:pt idx="18">
                  <c:v>132</c:v>
                </c:pt>
                <c:pt idx="19">
                  <c:v>985</c:v>
                </c:pt>
                <c:pt idx="20">
                  <c:v>653</c:v>
                </c:pt>
                <c:pt idx="21">
                  <c:v>451</c:v>
                </c:pt>
                <c:pt idx="22">
                  <c:v>876</c:v>
                </c:pt>
                <c:pt idx="23">
                  <c:v>186</c:v>
                </c:pt>
                <c:pt idx="24">
                  <c:v>917</c:v>
                </c:pt>
                <c:pt idx="25">
                  <c:v>950</c:v>
                </c:pt>
                <c:pt idx="26">
                  <c:v>967</c:v>
                </c:pt>
                <c:pt idx="27">
                  <c:v>329</c:v>
                </c:pt>
                <c:pt idx="28">
                  <c:v>331</c:v>
                </c:pt>
                <c:pt idx="29">
                  <c:v>66</c:v>
                </c:pt>
                <c:pt idx="30">
                  <c:v>188</c:v>
                </c:pt>
                <c:pt idx="31">
                  <c:v>954</c:v>
                </c:pt>
                <c:pt idx="32">
                  <c:v>670</c:v>
                </c:pt>
                <c:pt idx="33">
                  <c:v>397</c:v>
                </c:pt>
                <c:pt idx="34">
                  <c:v>465</c:v>
                </c:pt>
                <c:pt idx="35">
                  <c:v>674</c:v>
                </c:pt>
                <c:pt idx="36">
                  <c:v>471</c:v>
                </c:pt>
                <c:pt idx="37">
                  <c:v>626</c:v>
                </c:pt>
                <c:pt idx="38">
                  <c:v>785</c:v>
                </c:pt>
                <c:pt idx="39">
                  <c:v>218</c:v>
                </c:pt>
                <c:pt idx="40">
                  <c:v>128</c:v>
                </c:pt>
                <c:pt idx="41">
                  <c:v>520</c:v>
                </c:pt>
                <c:pt idx="42">
                  <c:v>938</c:v>
                </c:pt>
                <c:pt idx="43">
                  <c:v>168</c:v>
                </c:pt>
                <c:pt idx="44">
                  <c:v>936</c:v>
                </c:pt>
                <c:pt idx="45">
                  <c:v>61</c:v>
                </c:pt>
                <c:pt idx="46">
                  <c:v>738</c:v>
                </c:pt>
                <c:pt idx="47">
                  <c:v>315</c:v>
                </c:pt>
                <c:pt idx="48">
                  <c:v>438</c:v>
                </c:pt>
                <c:pt idx="49">
                  <c:v>881</c:v>
                </c:pt>
                <c:pt idx="50">
                  <c:v>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A-4A1B-AC94-0F24DDFD6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7469231"/>
        <c:axId val="2057490175"/>
      </c:lineChart>
      <c:dateAx>
        <c:axId val="2057469231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90175"/>
        <c:crosses val="autoZero"/>
        <c:auto val="1"/>
        <c:lblOffset val="100"/>
        <c:baseTimeUnit val="days"/>
        <c:majorUnit val="7"/>
        <c:majorTimeUnit val="days"/>
      </c:dateAx>
      <c:valAx>
        <c:axId val="205749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6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Area!$B$4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Area!$A$5:$A$12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Area!$B$5:$B$12</c:f>
              <c:numCache>
                <c:formatCode>General</c:formatCode>
                <c:ptCount val="8"/>
                <c:pt idx="0">
                  <c:v>50000</c:v>
                </c:pt>
                <c:pt idx="1">
                  <c:v>65000</c:v>
                </c:pt>
                <c:pt idx="2">
                  <c:v>82000</c:v>
                </c:pt>
                <c:pt idx="3">
                  <c:v>100000</c:v>
                </c:pt>
                <c:pt idx="4">
                  <c:v>65000</c:v>
                </c:pt>
                <c:pt idx="5">
                  <c:v>75000</c:v>
                </c:pt>
                <c:pt idx="6">
                  <c:v>35000</c:v>
                </c:pt>
                <c:pt idx="7">
                  <c:v>55500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C6-4DA9-AA2E-EE863D753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637583"/>
        <c:axId val="2061091455"/>
      </c:areaChart>
      <c:catAx>
        <c:axId val="2118637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091455"/>
        <c:crosses val="autoZero"/>
        <c:auto val="1"/>
        <c:lblAlgn val="ctr"/>
        <c:lblOffset val="100"/>
        <c:noMultiLvlLbl val="0"/>
      </c:catAx>
      <c:valAx>
        <c:axId val="206109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37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Bar!$B$4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Bar!$A$5:$A$14</c:f>
              <c:strCache>
                <c:ptCount val="10"/>
                <c:pt idx="0">
                  <c:v>Samsung Galaxy S25 Ultra</c:v>
                </c:pt>
                <c:pt idx="1">
                  <c:v>Apple iPhone 17 Pro Max</c:v>
                </c:pt>
                <c:pt idx="2">
                  <c:v>Apple iPhone 17 Pro Max</c:v>
                </c:pt>
                <c:pt idx="3">
                  <c:v>Xiaomi 15 Ultra</c:v>
                </c:pt>
                <c:pt idx="4">
                  <c:v>Motorola Edge 70</c:v>
                </c:pt>
                <c:pt idx="5">
                  <c:v>Realme GT 8 Pro / Pro Dream Edition</c:v>
                </c:pt>
                <c:pt idx="6">
                  <c:v>Vivo X300 / X300 Pro</c:v>
                </c:pt>
                <c:pt idx="7">
                  <c:v>Redmi Note 15 Series</c:v>
                </c:pt>
                <c:pt idx="8">
                  <c:v>iQOO Z10x 5G</c:v>
                </c:pt>
                <c:pt idx="9">
                  <c:v>OnePlus Nord CE 5</c:v>
                </c:pt>
              </c:strCache>
            </c:strRef>
          </c:cat>
          <c:val>
            <c:numRef>
              <c:f>Bar!$B$5:$B$14</c:f>
              <c:numCache>
                <c:formatCode>General</c:formatCode>
                <c:ptCount val="10"/>
                <c:pt idx="0">
                  <c:v>250</c:v>
                </c:pt>
                <c:pt idx="1">
                  <c:v>180</c:v>
                </c:pt>
                <c:pt idx="2">
                  <c:v>120</c:v>
                </c:pt>
                <c:pt idx="3">
                  <c:v>90</c:v>
                </c:pt>
                <c:pt idx="4">
                  <c:v>100</c:v>
                </c:pt>
                <c:pt idx="5">
                  <c:v>250</c:v>
                </c:pt>
                <c:pt idx="6">
                  <c:v>300</c:v>
                </c:pt>
                <c:pt idx="7">
                  <c:v>80</c:v>
                </c:pt>
                <c:pt idx="8">
                  <c:v>200</c:v>
                </c:pt>
                <c:pt idx="9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5-4B5A-864B-A9DDA58B0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325663"/>
        <c:axId val="2128886095"/>
      </c:barChart>
      <c:catAx>
        <c:axId val="46325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886095"/>
        <c:crosses val="autoZero"/>
        <c:auto val="1"/>
        <c:lblAlgn val="ctr"/>
        <c:lblOffset val="100"/>
        <c:noMultiLvlLbl val="0"/>
      </c:catAx>
      <c:valAx>
        <c:axId val="212888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4730555555555558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Pie!$B$4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44-4587-A3BB-C8203F37D9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44-4587-A3BB-C8203F37D9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44-4587-A3BB-C8203F37D9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44-4587-A3BB-C8203F37D9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44-4587-A3BB-C8203F37D9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C44-4587-A3BB-C8203F37D9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C44-4587-A3BB-C8203F37D9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C44-4587-A3BB-C8203F37D9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C44-4587-A3BB-C8203F37D90B}"/>
              </c:ext>
            </c:extLst>
          </c:dPt>
          <c:cat>
            <c:strRef>
              <c:f>Pie!$A$5:$A$12</c:f>
              <c:strCache>
                <c:ptCount val="8"/>
                <c:pt idx="0">
                  <c:v>Rent</c:v>
                </c:pt>
                <c:pt idx="1">
                  <c:v>Food</c:v>
                </c:pt>
                <c:pt idx="2">
                  <c:v>Transport</c:v>
                </c:pt>
                <c:pt idx="3">
                  <c:v>Savings</c:v>
                </c:pt>
                <c:pt idx="4">
                  <c:v>Electricity</c:v>
                </c:pt>
                <c:pt idx="5">
                  <c:v>Petrol</c:v>
                </c:pt>
                <c:pt idx="6">
                  <c:v>Medical</c:v>
                </c:pt>
                <c:pt idx="7">
                  <c:v>Others</c:v>
                </c:pt>
              </c:strCache>
            </c:strRef>
          </c:cat>
          <c:val>
            <c:numRef>
              <c:f>Pie!$B$5:$B$12</c:f>
              <c:numCache>
                <c:formatCode>General</c:formatCode>
                <c:ptCount val="8"/>
                <c:pt idx="0">
                  <c:v>15000</c:v>
                </c:pt>
                <c:pt idx="1">
                  <c:v>8000</c:v>
                </c:pt>
                <c:pt idx="2">
                  <c:v>3000</c:v>
                </c:pt>
                <c:pt idx="3">
                  <c:v>5000</c:v>
                </c:pt>
                <c:pt idx="4">
                  <c:v>1500</c:v>
                </c:pt>
                <c:pt idx="5">
                  <c:v>2000</c:v>
                </c:pt>
                <c:pt idx="6">
                  <c:v>1000</c:v>
                </c:pt>
                <c:pt idx="7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4-4048-BC31-C357D0344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999999999999997E-2"/>
          <c:y val="5.5555555555555552E-2"/>
          <c:w val="0.49166666666666664"/>
          <c:h val="0.81944444444444442"/>
        </c:manualLayout>
      </c:layout>
      <c:doughnutChart>
        <c:varyColors val="1"/>
        <c:ser>
          <c:idx val="0"/>
          <c:order val="0"/>
          <c:tx>
            <c:strRef>
              <c:f>Doughnut!$B$4</c:f>
              <c:strCache>
                <c:ptCount val="1"/>
                <c:pt idx="0">
                  <c:v>Budget 2023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89-4445-AD37-32F3165A7AED}"/>
              </c:ext>
            </c:extLst>
          </c:dPt>
          <c:dPt>
            <c:idx val="1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989-4445-AD37-32F3165A7AED}"/>
              </c:ext>
            </c:extLst>
          </c:dPt>
          <c:dPt>
            <c:idx val="2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89-4445-AD37-32F3165A7AED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989-4445-AD37-32F3165A7AED}"/>
              </c:ext>
            </c:extLst>
          </c:dPt>
          <c:cat>
            <c:strRef>
              <c:f>Doughnut!$A$5:$A$8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  <c:pt idx="3">
                  <c:v>Marketing</c:v>
                </c:pt>
              </c:strCache>
            </c:strRef>
          </c:cat>
          <c:val>
            <c:numRef>
              <c:f>Doughnut!$B$5:$B$8</c:f>
              <c:numCache>
                <c:formatCode>General</c:formatCode>
                <c:ptCount val="4"/>
                <c:pt idx="0">
                  <c:v>20000</c:v>
                </c:pt>
                <c:pt idx="1">
                  <c:v>40000</c:v>
                </c:pt>
                <c:pt idx="2">
                  <c:v>30000</c:v>
                </c:pt>
                <c:pt idx="3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9-4445-AD37-32F3165A7AED}"/>
            </c:ext>
          </c:extLst>
        </c:ser>
        <c:ser>
          <c:idx val="1"/>
          <c:order val="1"/>
          <c:tx>
            <c:strRef>
              <c:f>Doughnut!$C$4</c:f>
              <c:strCache>
                <c:ptCount val="1"/>
                <c:pt idx="0">
                  <c:v>Budget 2025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89-4445-AD37-32F3165A7AED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989-4445-AD37-32F3165A7AED}"/>
              </c:ext>
            </c:extLst>
          </c:dPt>
          <c:dPt>
            <c:idx val="2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989-4445-AD37-32F3165A7AED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989-4445-AD37-32F3165A7AED}"/>
              </c:ext>
            </c:extLst>
          </c:dPt>
          <c:cat>
            <c:strRef>
              <c:f>Doughnut!$A$5:$A$8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  <c:pt idx="3">
                  <c:v>Marketing</c:v>
                </c:pt>
              </c:strCache>
            </c:strRef>
          </c:cat>
          <c:val>
            <c:numRef>
              <c:f>Doughnut!$C$5:$C$8</c:f>
              <c:numCache>
                <c:formatCode>General</c:formatCode>
                <c:ptCount val="4"/>
                <c:pt idx="0">
                  <c:v>18500</c:v>
                </c:pt>
                <c:pt idx="1">
                  <c:v>45000</c:v>
                </c:pt>
                <c:pt idx="2">
                  <c:v>50000</c:v>
                </c:pt>
                <c:pt idx="3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9-4445-AD37-32F3165A7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Thermometer!$C$1</c:f>
              <c:strCache>
                <c:ptCount val="1"/>
                <c:pt idx="0">
                  <c:v>Actual Sales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Thermometer!$A$2:$A$6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Web Camera</c:v>
                </c:pt>
                <c:pt idx="3">
                  <c:v>SSD</c:v>
                </c:pt>
                <c:pt idx="4">
                  <c:v>NVME</c:v>
                </c:pt>
              </c:strCache>
            </c:strRef>
          </c:cat>
          <c:val>
            <c:numRef>
              <c:f>Thermometer!$C$2:$C$6</c:f>
              <c:numCache>
                <c:formatCode>General</c:formatCode>
                <c:ptCount val="5"/>
                <c:pt idx="0">
                  <c:v>1000</c:v>
                </c:pt>
                <c:pt idx="1">
                  <c:v>200</c:v>
                </c:pt>
                <c:pt idx="2">
                  <c:v>1100</c:v>
                </c:pt>
                <c:pt idx="3">
                  <c:v>850</c:v>
                </c:pt>
                <c:pt idx="4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6-4CAD-98E5-5145198BA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0223"/>
        <c:axId val="962984527"/>
      </c:barChart>
      <c:barChart>
        <c:barDir val="col"/>
        <c:grouping val="clustered"/>
        <c:varyColors val="0"/>
        <c:ser>
          <c:idx val="0"/>
          <c:order val="0"/>
          <c:tx>
            <c:strRef>
              <c:f>Thermometer!$B$1</c:f>
              <c:strCache>
                <c:ptCount val="1"/>
                <c:pt idx="0">
                  <c:v>Target Sales</c:v>
                </c:pt>
              </c:strCache>
            </c:strRef>
          </c:tx>
          <c:spPr>
            <a:solidFill>
              <a:srgbClr val="00B0F0">
                <a:alpha val="50000"/>
              </a:srgbClr>
            </a:solidFill>
            <a:ln w="38100" cap="rnd">
              <a:solidFill>
                <a:srgbClr val="00B0F0">
                  <a:alpha val="26000"/>
                </a:srgbClr>
              </a:solidFill>
            </a:ln>
            <a:effectLst/>
          </c:spPr>
          <c:invertIfNegative val="0"/>
          <c:cat>
            <c:strRef>
              <c:f>Thermometer!$A$2:$A$6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Web Camera</c:v>
                </c:pt>
                <c:pt idx="3">
                  <c:v>SSD</c:v>
                </c:pt>
                <c:pt idx="4">
                  <c:v>NVME</c:v>
                </c:pt>
              </c:strCache>
            </c:strRef>
          </c:cat>
          <c:val>
            <c:numRef>
              <c:f>Thermometer!$B$2:$B$6</c:f>
              <c:numCache>
                <c:formatCode>General</c:formatCode>
                <c:ptCount val="5"/>
                <c:pt idx="0">
                  <c:v>1000</c:v>
                </c:pt>
                <c:pt idx="1">
                  <c:v>400</c:v>
                </c:pt>
                <c:pt idx="2">
                  <c:v>1000</c:v>
                </c:pt>
                <c:pt idx="3">
                  <c:v>800</c:v>
                </c:pt>
                <c:pt idx="4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6-4CAD-98E5-5145198BA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2"/>
        <c:overlap val="-27"/>
        <c:axId val="1020453679"/>
        <c:axId val="1019546687"/>
      </c:barChart>
      <c:catAx>
        <c:axId val="96288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984527"/>
        <c:crosses val="autoZero"/>
        <c:auto val="1"/>
        <c:lblAlgn val="ctr"/>
        <c:lblOffset val="100"/>
        <c:noMultiLvlLbl val="0"/>
      </c:catAx>
      <c:valAx>
        <c:axId val="962984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80223"/>
        <c:crosses val="autoZero"/>
        <c:crossBetween val="between"/>
      </c:valAx>
      <c:valAx>
        <c:axId val="1019546687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020453679"/>
        <c:crosses val="max"/>
        <c:crossBetween val="between"/>
      </c:valAx>
      <c:catAx>
        <c:axId val="10204536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9546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'3D Clyinder'!$B$1</c:f>
              <c:strCache>
                <c:ptCount val="1"/>
                <c:pt idx="0">
                  <c:v>January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  <a:alpha val="54000"/>
                  </a:schemeClr>
                </a:gs>
                <a:gs pos="85000">
                  <a:srgbClr val="92D050"/>
                </a:gs>
                <a:gs pos="88000">
                  <a:srgbClr val="72AF2F"/>
                </a:gs>
              </a:gsLst>
              <a:lin ang="54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'3D Clyinder'!$A$2:$A$6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Web Camera</c:v>
                </c:pt>
                <c:pt idx="3">
                  <c:v>SSD</c:v>
                </c:pt>
                <c:pt idx="4">
                  <c:v>NVME</c:v>
                </c:pt>
              </c:strCache>
            </c:strRef>
          </c:cat>
          <c:val>
            <c:numRef>
              <c:f>'3D Clyinder'!$B$2:$B$6</c:f>
              <c:numCache>
                <c:formatCode>General</c:formatCode>
                <c:ptCount val="5"/>
                <c:pt idx="0">
                  <c:v>1000</c:v>
                </c:pt>
                <c:pt idx="1">
                  <c:v>400</c:v>
                </c:pt>
                <c:pt idx="2">
                  <c:v>1000</c:v>
                </c:pt>
                <c:pt idx="3">
                  <c:v>800</c:v>
                </c:pt>
                <c:pt idx="4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B-4739-85D3-2A7BE9A2C5DE}"/>
            </c:ext>
          </c:extLst>
        </c:ser>
        <c:ser>
          <c:idx val="1"/>
          <c:order val="1"/>
          <c:tx>
            <c:strRef>
              <c:f>'3D Clyinder'!$C$1</c:f>
              <c:strCache>
                <c:ptCount val="1"/>
                <c:pt idx="0">
                  <c:v>February</c:v>
                </c:pt>
              </c:strCache>
            </c:strRef>
          </c:tx>
          <c:spPr>
            <a:gradFill>
              <a:gsLst>
                <a:gs pos="0">
                  <a:schemeClr val="bg1">
                    <a:alpha val="52000"/>
                  </a:schemeClr>
                </a:gs>
                <a:gs pos="80000">
                  <a:schemeClr val="accent6">
                    <a:lumMod val="60000"/>
                    <a:lumOff val="40000"/>
                    <a:alpha val="42000"/>
                  </a:schemeClr>
                </a:gs>
                <a:gs pos="92000">
                  <a:schemeClr val="accent6">
                    <a:lumMod val="75000"/>
                  </a:schemeClr>
                </a:gs>
              </a:gsLst>
              <a:lin ang="54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'3D Clyinder'!$A$2:$A$6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Web Camera</c:v>
                </c:pt>
                <c:pt idx="3">
                  <c:v>SSD</c:v>
                </c:pt>
                <c:pt idx="4">
                  <c:v>NVME</c:v>
                </c:pt>
              </c:strCache>
            </c:strRef>
          </c:cat>
          <c:val>
            <c:numRef>
              <c:f>'3D Clyinder'!$C$2:$C$6</c:f>
              <c:numCache>
                <c:formatCode>General</c:formatCode>
                <c:ptCount val="5"/>
                <c:pt idx="0">
                  <c:v>1000</c:v>
                </c:pt>
                <c:pt idx="1">
                  <c:v>200</c:v>
                </c:pt>
                <c:pt idx="2">
                  <c:v>1100</c:v>
                </c:pt>
                <c:pt idx="3">
                  <c:v>850</c:v>
                </c:pt>
                <c:pt idx="4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FB-4739-85D3-2A7BE9A2C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shape val="cylinder"/>
        <c:axId val="960939887"/>
        <c:axId val="1019548767"/>
        <c:axId val="0"/>
      </c:bar3DChart>
      <c:catAx>
        <c:axId val="96093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548767"/>
        <c:crosses val="autoZero"/>
        <c:auto val="1"/>
        <c:lblAlgn val="ctr"/>
        <c:lblOffset val="100"/>
        <c:noMultiLvlLbl val="0"/>
      </c:catAx>
      <c:valAx>
        <c:axId val="101954876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3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7030A0"/>
            </a:solidFill>
          </c:spPr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2F-4FFD-8F5F-B11C9A746BF1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2F-4FFD-8F5F-B11C9A746BF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2F-4FFD-8F5F-B11C9A746BF1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2F-4FFD-8F5F-B11C9A746BF1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2F-4FFD-8F5F-B11C9A746BF1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2F-4FFD-8F5F-B11C9A746BF1}"/>
              </c:ext>
            </c:extLst>
          </c:dPt>
          <c:dPt>
            <c:idx val="6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02F-4FFD-8F5F-B11C9A746BF1}"/>
              </c:ext>
            </c:extLst>
          </c:dPt>
          <c:dPt>
            <c:idx val="7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02F-4FFD-8F5F-B11C9A746BF1}"/>
              </c:ext>
            </c:extLst>
          </c:dPt>
          <c:dPt>
            <c:idx val="8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02F-4FFD-8F5F-B11C9A746BF1}"/>
              </c:ext>
            </c:extLst>
          </c:dPt>
          <c:dPt>
            <c:idx val="9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02F-4FFD-8F5F-B11C9A746BF1}"/>
              </c:ext>
            </c:extLst>
          </c:dPt>
          <c:dPt>
            <c:idx val="1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02F-4FFD-8F5F-B11C9A746BF1}"/>
              </c:ext>
            </c:extLst>
          </c:dPt>
          <c:dPt>
            <c:idx val="1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02F-4FFD-8F5F-B11C9A746BF1}"/>
              </c:ext>
            </c:extLst>
          </c:dPt>
          <c:dPt>
            <c:idx val="1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02F-4FFD-8F5F-B11C9A746BF1}"/>
              </c:ext>
            </c:extLst>
          </c:dPt>
          <c:dPt>
            <c:idx val="13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02F-4FFD-8F5F-B11C9A746BF1}"/>
              </c:ext>
            </c:extLst>
          </c:dPt>
          <c:dPt>
            <c:idx val="14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02F-4FFD-8F5F-B11C9A746BF1}"/>
              </c:ext>
            </c:extLst>
          </c:dPt>
          <c:dPt>
            <c:idx val="1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02F-4FFD-8F5F-B11C9A746BF1}"/>
              </c:ext>
            </c:extLst>
          </c:dPt>
          <c:dPt>
            <c:idx val="16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02F-4FFD-8F5F-B11C9A746BF1}"/>
              </c:ext>
            </c:extLst>
          </c:dPt>
          <c:dPt>
            <c:idx val="17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02F-4FFD-8F5F-B11C9A746BF1}"/>
              </c:ext>
            </c:extLst>
          </c:dPt>
          <c:dPt>
            <c:idx val="18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02F-4FFD-8F5F-B11C9A746BF1}"/>
              </c:ext>
            </c:extLst>
          </c:dPt>
          <c:dPt>
            <c:idx val="19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02F-4FFD-8F5F-B11C9A746BF1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C3D0-475C-8153-95C647183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6"/>
      </c:doughnutChart>
      <c:doughnutChart>
        <c:varyColors val="1"/>
        <c:ser>
          <c:idx val="1"/>
          <c:order val="1"/>
          <c:tx>
            <c:strRef>
              <c:f>'Pie Infographic'!$A$2</c:f>
              <c:strCache>
                <c:ptCount val="1"/>
                <c:pt idx="0">
                  <c:v>Keyboard</c:v>
                </c:pt>
              </c:strCache>
            </c:strRef>
          </c:tx>
          <c:dPt>
            <c:idx val="0"/>
            <c:bubble3D val="0"/>
            <c:spPr>
              <a:solidFill>
                <a:srgbClr val="FFFFFF">
                  <a:alpha val="41176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3D0-475C-8153-95C647183AD8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D0-475C-8153-95C647183AD8}"/>
              </c:ext>
            </c:extLst>
          </c:dPt>
          <c:val>
            <c:numRef>
              <c:f>'Pie Infographic'!$B$2:$C$2</c:f>
              <c:numCache>
                <c:formatCode>0%</c:formatCode>
                <c:ptCount val="2"/>
                <c:pt idx="0">
                  <c:v>0.8</c:v>
                </c:pt>
                <c:pt idx="1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D0-475C-8153-95C647183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56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89-4450-A46A-8107EF6B71CB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89-4450-A46A-8107EF6B71CB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89-4450-A46A-8107EF6B71CB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89-4450-A46A-8107EF6B71CB}"/>
              </c:ext>
            </c:extLst>
          </c:dPt>
          <c:dPt>
            <c:idx val="4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89-4450-A46A-8107EF6B71CB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89-4450-A46A-8107EF6B71CB}"/>
              </c:ext>
            </c:extLst>
          </c:dPt>
          <c:dPt>
            <c:idx val="6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89-4450-A46A-8107EF6B71CB}"/>
              </c:ext>
            </c:extLst>
          </c:dPt>
          <c:dPt>
            <c:idx val="7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B89-4450-A46A-8107EF6B71CB}"/>
              </c:ext>
            </c:extLst>
          </c:dPt>
          <c:dPt>
            <c:idx val="8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B89-4450-A46A-8107EF6B71CB}"/>
              </c:ext>
            </c:extLst>
          </c:dPt>
          <c:dPt>
            <c:idx val="9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B89-4450-A46A-8107EF6B71CB}"/>
              </c:ext>
            </c:extLst>
          </c:dPt>
          <c:dPt>
            <c:idx val="1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B89-4450-A46A-8107EF6B71CB}"/>
              </c:ext>
            </c:extLst>
          </c:dPt>
          <c:dPt>
            <c:idx val="1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B89-4450-A46A-8107EF6B71CB}"/>
              </c:ext>
            </c:extLst>
          </c:dPt>
          <c:dPt>
            <c:idx val="1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B89-4450-A46A-8107EF6B71CB}"/>
              </c:ext>
            </c:extLst>
          </c:dPt>
          <c:dPt>
            <c:idx val="1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B89-4450-A46A-8107EF6B71CB}"/>
              </c:ext>
            </c:extLst>
          </c:dPt>
          <c:dPt>
            <c:idx val="14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B89-4450-A46A-8107EF6B71CB}"/>
              </c:ext>
            </c:extLst>
          </c:dPt>
          <c:dPt>
            <c:idx val="1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B89-4450-A46A-8107EF6B71CB}"/>
              </c:ext>
            </c:extLst>
          </c:dPt>
          <c:dPt>
            <c:idx val="16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B89-4450-A46A-8107EF6B71CB}"/>
              </c:ext>
            </c:extLst>
          </c:dPt>
          <c:dPt>
            <c:idx val="17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B89-4450-A46A-8107EF6B71CB}"/>
              </c:ext>
            </c:extLst>
          </c:dPt>
          <c:dPt>
            <c:idx val="18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B89-4450-A46A-8107EF6B71CB}"/>
              </c:ext>
            </c:extLst>
          </c:dPt>
          <c:dPt>
            <c:idx val="19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B89-4450-A46A-8107EF6B71CB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9B3-4558-B6FB-2FBA985D4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'Pie Infographic'!$A$3</c:f>
              <c:strCache>
                <c:ptCount val="1"/>
                <c:pt idx="0">
                  <c:v>Laptop</c:v>
                </c:pt>
              </c:strCache>
            </c:strRef>
          </c:tx>
          <c:dPt>
            <c:idx val="0"/>
            <c:bubble3D val="0"/>
            <c:spPr>
              <a:solidFill>
                <a:srgbClr val="FFFFFF">
                  <a:alpha val="16863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B3-4558-B6FB-2FBA985D40D7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9B3-4558-B6FB-2FBA985D40D7}"/>
              </c:ext>
            </c:extLst>
          </c:dPt>
          <c:val>
            <c:numRef>
              <c:f>'Pie Infographic'!$B$3:$C$3</c:f>
              <c:numCache>
                <c:formatCode>0%</c:formatCode>
                <c:ptCount val="2"/>
                <c:pt idx="0">
                  <c:v>0.25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3-4558-B6FB-2FBA985D4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46296296296297"/>
          <c:y val="0.14120370370370369"/>
          <c:w val="0.77314814814814814"/>
          <c:h val="0.77314814814814814"/>
        </c:manualLayout>
      </c:layout>
      <c:doughnutChart>
        <c:varyColors val="1"/>
        <c:ser>
          <c:idx val="0"/>
          <c:order val="0"/>
          <c:spPr>
            <a:solidFill>
              <a:schemeClr val="accent2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Lit>
              <c:formatCode>General</c:formatCode>
              <c:ptCount val="1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78B8-4807-A663-D4D2B5F3E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1"/>
      </c:doughnutChart>
      <c:doughnutChart>
        <c:varyColors val="1"/>
        <c:ser>
          <c:idx val="1"/>
          <c:order val="1"/>
          <c:tx>
            <c:strRef>
              <c:f>'Pie Infographic'!$A$4</c:f>
              <c:strCache>
                <c:ptCount val="1"/>
                <c:pt idx="0">
                  <c:v>Web Camera</c:v>
                </c:pt>
              </c:strCache>
            </c:strRef>
          </c:tx>
          <c:dPt>
            <c:idx val="0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8B8-4807-A663-D4D2B5F3EFC1}"/>
              </c:ext>
            </c:extLst>
          </c:dPt>
          <c:dPt>
            <c:idx val="1"/>
            <c:bubble3D val="0"/>
            <c:spPr>
              <a:solidFill>
                <a:srgbClr val="FFFFFF">
                  <a:alpha val="16078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8B8-4807-A663-D4D2B5F3EFC1}"/>
              </c:ext>
            </c:extLst>
          </c:dPt>
          <c:val>
            <c:numRef>
              <c:f>'Pie Infographic'!$B$4:$C$4</c:f>
              <c:numCache>
                <c:formatCode>0%</c:formatCode>
                <c:ptCount val="2"/>
                <c:pt idx="0">
                  <c:v>0.25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B8-4807-A663-D4D2B5F3E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1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07B22BED-137F-40D9-B4FA-9A723C234204}">
          <cx:tx>
            <cx:txData>
              <cx:f>_xlchart.v1.1</cx:f>
              <cx:v>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BB4260DE-657A-4C3D-8DCB-726010A9F202}">
          <cx:tx>
            <cx:txData>
              <cx:f>_xlchart.v1.3</cx:f>
              <cx:v>Marks</cx:v>
            </cx:txData>
          </cx:tx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</cx:chartData>
  <cx:chart>
    <cx:title pos="t" align="ctr" overlay="0"/>
    <cx:plotArea>
      <cx:plotAreaRegion>
        <cx:series layoutId="sunburst" uniqueId="{E086B457-0E37-4531-8DA2-57DE610C950B}">
          <cx:tx>
            <cx:txData>
              <cx:f>_xlchart.v1.6</cx:f>
              <cx:v>Value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</cx:chartData>
  <cx:chart>
    <cx:title pos="t" align="ctr" overlay="0"/>
    <cx:plotArea>
      <cx:plotAreaRegion>
        <cx:series layoutId="clusteredColumn" uniqueId="{93C3C3B1-DAE0-4BD4-8222-065050C4430F}">
          <cx:tx>
            <cx:txData>
              <cx:f>_xlchart.v1.9</cx:f>
              <cx:v>Marks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04C0140A-E454-49DA-ACC9-E50E561C867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_xlchart.v1.13</cx:f>
      </cx:numDim>
    </cx:data>
  </cx:chartData>
  <cx:chart>
    <cx:title pos="t" align="ctr" overlay="0"/>
    <cx:plotArea>
      <cx:plotAreaRegion>
        <cx:series layoutId="clusteredColumn" uniqueId="{F14858BE-A959-4A58-AEA6-B1CAC89D8A91}">
          <cx:tx>
            <cx:txData>
              <cx:f>_xlchart.v1.12</cx:f>
              <cx:v>Frequency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8536C0E-FE86-4098-ADB0-AF9618066C5E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214312</xdr:colOff>
      <xdr:row>1</xdr:row>
      <xdr:rowOff>80962</xdr:rowOff>
    </xdr:from>
    <xdr:to>
      <xdr:col>12</xdr:col>
      <xdr:colOff>519112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0DBA9-A09E-46E4-9A53-1EBCD2427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36</xdr:row>
      <xdr:rowOff>71437</xdr:rowOff>
    </xdr:from>
    <xdr:to>
      <xdr:col>12</xdr:col>
      <xdr:colOff>209549</xdr:colOff>
      <xdr:row>50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0FED5-B333-471F-BF89-79475EC65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242887</xdr:colOff>
      <xdr:row>1</xdr:row>
      <xdr:rowOff>176212</xdr:rowOff>
    </xdr:from>
    <xdr:to>
      <xdr:col>12</xdr:col>
      <xdr:colOff>547687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E73D4E-0B6E-44F9-AFBB-FE7F56E4D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576262</xdr:colOff>
      <xdr:row>2</xdr:row>
      <xdr:rowOff>61912</xdr:rowOff>
    </xdr:from>
    <xdr:to>
      <xdr:col>10</xdr:col>
      <xdr:colOff>271462</xdr:colOff>
      <xdr:row>16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9BA655-782F-4FB2-AE3D-E2EF55429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0</xdr:row>
      <xdr:rowOff>157162</xdr:rowOff>
    </xdr:from>
    <xdr:to>
      <xdr:col>10</xdr:col>
      <xdr:colOff>133350</xdr:colOff>
      <xdr:row>15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E5875F-DFD2-4484-8796-1A7CC8767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1</xdr:row>
      <xdr:rowOff>4762</xdr:rowOff>
    </xdr:from>
    <xdr:to>
      <xdr:col>10</xdr:col>
      <xdr:colOff>561975</xdr:colOff>
      <xdr:row>15</xdr:row>
      <xdr:rowOff>80962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311B93F4-B628-4532-9BC3-25E5E63ECA0B}"/>
            </a:ext>
          </a:extLst>
        </xdr:cNvPr>
        <xdr:cNvGrpSpPr/>
      </xdr:nvGrpSpPr>
      <xdr:grpSpPr>
        <a:xfrm>
          <a:off x="2790825" y="195262"/>
          <a:ext cx="4572000" cy="2743200"/>
          <a:chOff x="4038600" y="166687"/>
          <a:chExt cx="4572000" cy="27432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40479EB3-FA02-4C57-BF34-52DD8C183E7A}"/>
              </a:ext>
            </a:extLst>
          </xdr:cNvPr>
          <xdr:cNvGraphicFramePr/>
        </xdr:nvGraphicFramePr>
        <xdr:xfrm>
          <a:off x="4038600" y="166687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BB408897-F229-4641-993C-56369CE6FA70}"/>
              </a:ext>
            </a:extLst>
          </xdr:cNvPr>
          <xdr:cNvGrpSpPr/>
        </xdr:nvGrpSpPr>
        <xdr:grpSpPr>
          <a:xfrm>
            <a:off x="7115175" y="342900"/>
            <a:ext cx="1343025" cy="295275"/>
            <a:chOff x="8877300" y="657225"/>
            <a:chExt cx="1343025" cy="295275"/>
          </a:xfrm>
        </xdr:grpSpPr>
        <xdr:sp macro="" textlink="">
          <xdr:nvSpPr>
            <xdr:cNvPr id="5" name="Rectangle: Rounded Corners 4">
              <a:extLst>
                <a:ext uri="{FF2B5EF4-FFF2-40B4-BE49-F238E27FC236}">
                  <a16:creationId xmlns:a16="http://schemas.microsoft.com/office/drawing/2014/main" id="{9FF8C3C3-03CD-4AEE-BA5E-C187258F5F07}"/>
                </a:ext>
              </a:extLst>
            </xdr:cNvPr>
            <xdr:cNvSpPr/>
          </xdr:nvSpPr>
          <xdr:spPr>
            <a:xfrm>
              <a:off x="8877300" y="685800"/>
              <a:ext cx="238125" cy="238125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$B$4">
          <xdr:nvSpPr>
            <xdr:cNvPr id="7" name="TextBox 6">
              <a:extLst>
                <a:ext uri="{FF2B5EF4-FFF2-40B4-BE49-F238E27FC236}">
                  <a16:creationId xmlns:a16="http://schemas.microsoft.com/office/drawing/2014/main" id="{E0D1139A-1F2F-4E28-800F-2C471238ED26}"/>
                </a:ext>
              </a:extLst>
            </xdr:cNvPr>
            <xdr:cNvSpPr txBox="1"/>
          </xdr:nvSpPr>
          <xdr:spPr>
            <a:xfrm>
              <a:off x="9124950" y="657225"/>
              <a:ext cx="1095375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442FE7F2-AB46-4A4C-910C-EE43F2864551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/>
                <a:t>Budget 2023</a:t>
              </a:fld>
              <a:endParaRPr lang="en-US" sz="1100"/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9247EBA4-E23D-4009-8A36-79872DC949CA}"/>
              </a:ext>
            </a:extLst>
          </xdr:cNvPr>
          <xdr:cNvGrpSpPr/>
        </xdr:nvGrpSpPr>
        <xdr:grpSpPr>
          <a:xfrm>
            <a:off x="7124700" y="714375"/>
            <a:ext cx="1276350" cy="266700"/>
            <a:chOff x="8877300" y="1133475"/>
            <a:chExt cx="1276350" cy="266700"/>
          </a:xfrm>
        </xdr:grpSpPr>
        <xdr:sp macro="" textlink="">
          <xdr:nvSpPr>
            <xdr:cNvPr id="6" name="Rectangle: Rounded Corners 5">
              <a:extLst>
                <a:ext uri="{FF2B5EF4-FFF2-40B4-BE49-F238E27FC236}">
                  <a16:creationId xmlns:a16="http://schemas.microsoft.com/office/drawing/2014/main" id="{6F3C22B7-7BF5-42F9-942F-3E153F1DCA4C}"/>
                </a:ext>
              </a:extLst>
            </xdr:cNvPr>
            <xdr:cNvSpPr/>
          </xdr:nvSpPr>
          <xdr:spPr>
            <a:xfrm>
              <a:off x="8877300" y="1143000"/>
              <a:ext cx="238125" cy="238125"/>
            </a:xfrm>
            <a:prstGeom prst="roundRect">
              <a:avLst/>
            </a:prstGeom>
            <a:solidFill>
              <a:schemeClr val="accent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$C$4">
          <xdr:nvSpPr>
            <xdr:cNvPr id="8" name="TextBox 7">
              <a:extLst>
                <a:ext uri="{FF2B5EF4-FFF2-40B4-BE49-F238E27FC236}">
                  <a16:creationId xmlns:a16="http://schemas.microsoft.com/office/drawing/2014/main" id="{945FA634-A817-4F53-89AB-E601B495464F}"/>
                </a:ext>
              </a:extLst>
            </xdr:cNvPr>
            <xdr:cNvSpPr txBox="1"/>
          </xdr:nvSpPr>
          <xdr:spPr>
            <a:xfrm>
              <a:off x="9144000" y="1133475"/>
              <a:ext cx="100965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8346247E-A142-4BAF-82AE-70E9EF86A574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/>
                <a:t>Budget 2025</a:t>
              </a:fld>
              <a:endParaRPr lang="en-US" sz="1100"/>
            </a:p>
          </xdr:txBody>
        </xdr:sp>
      </xdr:grp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3</xdr:row>
      <xdr:rowOff>128587</xdr:rowOff>
    </xdr:from>
    <xdr:to>
      <xdr:col>14</xdr:col>
      <xdr:colOff>104775</xdr:colOff>
      <xdr:row>19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E10E042-A9A9-4C9D-B4DC-6F8A0BBFE1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52925" y="700087"/>
              <a:ext cx="4572000" cy="2933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4</xdr:row>
      <xdr:rowOff>80962</xdr:rowOff>
    </xdr:from>
    <xdr:to>
      <xdr:col>11</xdr:col>
      <xdr:colOff>9525</xdr:colOff>
      <xdr:row>18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2267D88-A972-4796-AC09-70AF6BCC06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25" y="842962"/>
              <a:ext cx="55245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</xdr:row>
      <xdr:rowOff>100012</xdr:rowOff>
    </xdr:from>
    <xdr:to>
      <xdr:col>11</xdr:col>
      <xdr:colOff>19050</xdr:colOff>
      <xdr:row>15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36A0815-DBAC-44CE-B3B8-A463D69767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3150" y="2905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0</xdr:row>
      <xdr:rowOff>0</xdr:rowOff>
    </xdr:from>
    <xdr:to>
      <xdr:col>13</xdr:col>
      <xdr:colOff>190500</xdr:colOff>
      <xdr:row>16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52343D9-A7C5-4099-B443-DCDDCC15AF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0"/>
              <a:ext cx="4572000" cy="31194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6</xdr:row>
      <xdr:rowOff>166687</xdr:rowOff>
    </xdr:from>
    <xdr:to>
      <xdr:col>6</xdr:col>
      <xdr:colOff>76200</xdr:colOff>
      <xdr:row>21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B793C-5ED2-4968-85D9-4C8BEB21D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0</xdr:row>
      <xdr:rowOff>147636</xdr:rowOff>
    </xdr:from>
    <xdr:to>
      <xdr:col>12</xdr:col>
      <xdr:colOff>590550</xdr:colOff>
      <xdr:row>16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E03ED3-36F4-448D-9804-94F3624D0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119062</xdr:rowOff>
    </xdr:from>
    <xdr:to>
      <xdr:col>9</xdr:col>
      <xdr:colOff>381000</xdr:colOff>
      <xdr:row>15</xdr:row>
      <xdr:rowOff>4762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9B5782F-2A51-4CC4-8E8F-2ACACED5641F}"/>
            </a:ext>
          </a:extLst>
        </xdr:cNvPr>
        <xdr:cNvGrpSpPr/>
      </xdr:nvGrpSpPr>
      <xdr:grpSpPr>
        <a:xfrm>
          <a:off x="3495675" y="119062"/>
          <a:ext cx="2743200" cy="2743200"/>
          <a:chOff x="3286125" y="119062"/>
          <a:chExt cx="2743200" cy="27432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9A3B42E-AAAA-43A4-8701-37F41860497C}"/>
              </a:ext>
            </a:extLst>
          </xdr:cNvPr>
          <xdr:cNvGraphicFramePr/>
        </xdr:nvGraphicFramePr>
        <xdr:xfrm>
          <a:off x="3286125" y="119062"/>
          <a:ext cx="27432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B$2">
        <xdr:nvSpPr>
          <xdr:cNvPr id="4" name="TextBox 3">
            <a:extLst>
              <a:ext uri="{FF2B5EF4-FFF2-40B4-BE49-F238E27FC236}">
                <a16:creationId xmlns:a16="http://schemas.microsoft.com/office/drawing/2014/main" id="{0096A4CA-066B-42AB-BD92-37BA14FAF8B7}"/>
              </a:ext>
            </a:extLst>
          </xdr:cNvPr>
          <xdr:cNvSpPr txBox="1"/>
        </xdr:nvSpPr>
        <xdr:spPr>
          <a:xfrm>
            <a:off x="4124326" y="1181100"/>
            <a:ext cx="1057274" cy="590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E85B5B73-F00C-4092-B859-1B9D7C8D8224}" type="TxLink">
              <a:rPr lang="en-US" sz="2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80%</a:t>
            </a:fld>
            <a:endParaRPr lang="en-US" sz="2800" b="1"/>
          </a:p>
        </xdr:txBody>
      </xdr:sp>
    </xdr:grpSp>
    <xdr:clientData/>
  </xdr:twoCellAnchor>
  <xdr:twoCellAnchor>
    <xdr:from>
      <xdr:col>9</xdr:col>
      <xdr:colOff>171448</xdr:colOff>
      <xdr:row>0</xdr:row>
      <xdr:rowOff>138112</xdr:rowOff>
    </xdr:from>
    <xdr:to>
      <xdr:col>13</xdr:col>
      <xdr:colOff>476248</xdr:colOff>
      <xdr:row>15</xdr:row>
      <xdr:rowOff>23812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D7A51C2F-06E6-4AF0-AF4F-A5F0FC659C78}"/>
            </a:ext>
          </a:extLst>
        </xdr:cNvPr>
        <xdr:cNvGrpSpPr/>
      </xdr:nvGrpSpPr>
      <xdr:grpSpPr>
        <a:xfrm>
          <a:off x="6029323" y="138112"/>
          <a:ext cx="2743200" cy="2743200"/>
          <a:chOff x="5819773" y="138112"/>
          <a:chExt cx="2743200" cy="2743200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CCCE6AEA-E3B7-41DE-818D-A38181604E81}"/>
              </a:ext>
            </a:extLst>
          </xdr:cNvPr>
          <xdr:cNvGraphicFramePr/>
        </xdr:nvGraphicFramePr>
        <xdr:xfrm>
          <a:off x="5819773" y="138112"/>
          <a:ext cx="27432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">
        <xdr:nvSpPr>
          <xdr:cNvPr id="7" name="TextBox 6">
            <a:extLst>
              <a:ext uri="{FF2B5EF4-FFF2-40B4-BE49-F238E27FC236}">
                <a16:creationId xmlns:a16="http://schemas.microsoft.com/office/drawing/2014/main" id="{25972BC6-79A4-493D-8AD6-16EEF24FF531}"/>
              </a:ext>
            </a:extLst>
          </xdr:cNvPr>
          <xdr:cNvSpPr txBox="1"/>
        </xdr:nvSpPr>
        <xdr:spPr>
          <a:xfrm>
            <a:off x="6848475" y="1181100"/>
            <a:ext cx="809625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07310141-E84D-4272-B7E7-52C3922AD355}" type="TxLink">
              <a:rPr lang="en-US" sz="2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25%</a:t>
            </a:fld>
            <a:endParaRPr lang="en-US" sz="2800" b="1"/>
          </a:p>
        </xdr:txBody>
      </xdr:sp>
    </xdr:grpSp>
    <xdr:clientData/>
  </xdr:twoCellAnchor>
  <xdr:twoCellAnchor>
    <xdr:from>
      <xdr:col>13</xdr:col>
      <xdr:colOff>504825</xdr:colOff>
      <xdr:row>6</xdr:row>
      <xdr:rowOff>128587</xdr:rowOff>
    </xdr:from>
    <xdr:to>
      <xdr:col>18</xdr:col>
      <xdr:colOff>200025</xdr:colOff>
      <xdr:row>21</xdr:row>
      <xdr:rowOff>14287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5EDA77F-BB39-437C-9484-D11FB9D91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323850</xdr:colOff>
      <xdr:row>13</xdr:row>
      <xdr:rowOff>57150</xdr:rowOff>
    </xdr:from>
    <xdr:to>
      <xdr:col>16</xdr:col>
      <xdr:colOff>457200</xdr:colOff>
      <xdr:row>15</xdr:row>
      <xdr:rowOff>57150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BEDF1F-9F18-4EA3-806D-437BCC854149}"/>
            </a:ext>
          </a:extLst>
        </xdr:cNvPr>
        <xdr:cNvSpPr txBox="1"/>
      </xdr:nvSpPr>
      <xdr:spPr>
        <a:xfrm>
          <a:off x="9839325" y="2533650"/>
          <a:ext cx="74295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25%</a:t>
          </a:r>
        </a:p>
      </xdr:txBody>
    </xdr: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0.50069</cdr:x>
      <cdr:y>0.37674</cdr:y>
    </cdr:from>
    <cdr:to>
      <cdr:x>0.51736</cdr:x>
      <cdr:y>0.42188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A2BD9E3-9184-4568-AEBE-86FE647975E2}"/>
            </a:ext>
          </a:extLst>
        </cdr:cNvPr>
        <cdr:cNvSpPr txBox="1"/>
      </cdr:nvSpPr>
      <cdr:spPr>
        <a:xfrm xmlns:a="http://schemas.openxmlformats.org/drawingml/2006/main">
          <a:off x="1373506" y="1033463"/>
          <a:ext cx="45719" cy="1238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7</xdr:row>
      <xdr:rowOff>61912</xdr:rowOff>
    </xdr:from>
    <xdr:to>
      <xdr:col>15</xdr:col>
      <xdr:colOff>95250</xdr:colOff>
      <xdr:row>19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762985D-D2D4-45A0-89A5-48D76132FA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43575" y="13954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D4" activeCellId="2" sqref="A4:A16 B4:B16 D4:D16"/>
    </sheetView>
  </sheetViews>
  <sheetFormatPr defaultRowHeight="15" x14ac:dyDescent="0.25"/>
  <cols>
    <col min="1" max="1" width="10.140625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4" spans="1:4" x14ac:dyDescent="0.25">
      <c r="A4" t="s">
        <v>2</v>
      </c>
      <c r="B4" t="s">
        <v>3</v>
      </c>
      <c r="C4" t="s">
        <v>4</v>
      </c>
      <c r="D4" t="s">
        <v>135</v>
      </c>
    </row>
    <row r="5" spans="1:4" x14ac:dyDescent="0.25">
      <c r="A5" t="s">
        <v>5</v>
      </c>
      <c r="B5">
        <v>12000</v>
      </c>
      <c r="C5">
        <v>15000</v>
      </c>
      <c r="D5">
        <v>100</v>
      </c>
    </row>
    <row r="6" spans="1:4" x14ac:dyDescent="0.25">
      <c r="A6" t="s">
        <v>6</v>
      </c>
      <c r="B6">
        <v>14000</v>
      </c>
      <c r="C6">
        <v>16000</v>
      </c>
      <c r="D6">
        <v>1500</v>
      </c>
    </row>
    <row r="7" spans="1:4" x14ac:dyDescent="0.25">
      <c r="A7" t="s">
        <v>7</v>
      </c>
      <c r="B7">
        <v>18000</v>
      </c>
      <c r="C7">
        <v>17000</v>
      </c>
      <c r="D7">
        <v>2500</v>
      </c>
    </row>
    <row r="8" spans="1:4" x14ac:dyDescent="0.25">
      <c r="A8" t="s">
        <v>8</v>
      </c>
      <c r="B8">
        <v>20000</v>
      </c>
      <c r="C8">
        <v>19000</v>
      </c>
      <c r="D8">
        <v>1000</v>
      </c>
    </row>
    <row r="9" spans="1:4" x14ac:dyDescent="0.25">
      <c r="A9" t="s">
        <v>101</v>
      </c>
      <c r="B9">
        <v>25000</v>
      </c>
      <c r="C9">
        <v>19500</v>
      </c>
      <c r="D9">
        <v>100</v>
      </c>
    </row>
    <row r="10" spans="1:4" x14ac:dyDescent="0.25">
      <c r="A10" t="s">
        <v>102</v>
      </c>
      <c r="B10">
        <v>22000</v>
      </c>
      <c r="C10">
        <v>25000</v>
      </c>
      <c r="D10">
        <v>250</v>
      </c>
    </row>
    <row r="11" spans="1:4" x14ac:dyDescent="0.25">
      <c r="A11" t="s">
        <v>103</v>
      </c>
      <c r="B11">
        <v>32000</v>
      </c>
      <c r="C11">
        <v>12500</v>
      </c>
      <c r="D11">
        <v>300</v>
      </c>
    </row>
    <row r="12" spans="1:4" x14ac:dyDescent="0.25">
      <c r="A12" t="s">
        <v>104</v>
      </c>
      <c r="B12">
        <v>25000</v>
      </c>
      <c r="C12">
        <v>35000</v>
      </c>
      <c r="D12">
        <v>150</v>
      </c>
    </row>
    <row r="13" spans="1:4" x14ac:dyDescent="0.25">
      <c r="A13" t="s">
        <v>105</v>
      </c>
      <c r="B13">
        <v>17500</v>
      </c>
      <c r="C13">
        <v>21500</v>
      </c>
      <c r="D13">
        <v>222</v>
      </c>
    </row>
    <row r="14" spans="1:4" x14ac:dyDescent="0.25">
      <c r="A14" t="s">
        <v>106</v>
      </c>
      <c r="B14">
        <v>11500</v>
      </c>
      <c r="C14">
        <v>12000</v>
      </c>
      <c r="D14">
        <v>210</v>
      </c>
    </row>
    <row r="15" spans="1:4" x14ac:dyDescent="0.25">
      <c r="A15" t="s">
        <v>107</v>
      </c>
      <c r="B15">
        <v>13500</v>
      </c>
      <c r="C15">
        <v>18000</v>
      </c>
      <c r="D15">
        <v>220</v>
      </c>
    </row>
    <row r="16" spans="1:4" x14ac:dyDescent="0.25">
      <c r="A16" t="s">
        <v>108</v>
      </c>
      <c r="B16">
        <v>14000</v>
      </c>
      <c r="C16">
        <v>17000</v>
      </c>
      <c r="D16">
        <v>132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4" sqref="C4:C16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9</v>
      </c>
    </row>
    <row r="4" spans="1:3" x14ac:dyDescent="0.25">
      <c r="A4" t="s">
        <v>2</v>
      </c>
      <c r="B4" t="s">
        <v>10</v>
      </c>
      <c r="C4" t="s">
        <v>11</v>
      </c>
    </row>
    <row r="5" spans="1:3" x14ac:dyDescent="0.25">
      <c r="A5" t="s">
        <v>5</v>
      </c>
      <c r="B5">
        <v>8000</v>
      </c>
      <c r="C5">
        <v>4000</v>
      </c>
    </row>
    <row r="6" spans="1:3" x14ac:dyDescent="0.25">
      <c r="A6" t="s">
        <v>6</v>
      </c>
      <c r="B6">
        <v>9000</v>
      </c>
      <c r="C6">
        <v>5000</v>
      </c>
    </row>
    <row r="7" spans="1:3" x14ac:dyDescent="0.25">
      <c r="A7" t="s">
        <v>7</v>
      </c>
      <c r="B7">
        <v>11000</v>
      </c>
      <c r="C7">
        <v>7000</v>
      </c>
    </row>
    <row r="8" spans="1:3" x14ac:dyDescent="0.25">
      <c r="A8" t="s">
        <v>8</v>
      </c>
      <c r="B8">
        <v>13000</v>
      </c>
      <c r="C8">
        <v>7000</v>
      </c>
    </row>
    <row r="9" spans="1:3" x14ac:dyDescent="0.25">
      <c r="A9" t="s">
        <v>101</v>
      </c>
      <c r="B9">
        <v>25000</v>
      </c>
      <c r="C9">
        <v>17800</v>
      </c>
    </row>
    <row r="10" spans="1:3" x14ac:dyDescent="0.25">
      <c r="A10" t="s">
        <v>102</v>
      </c>
      <c r="B10">
        <v>13000</v>
      </c>
      <c r="C10">
        <v>15000</v>
      </c>
    </row>
    <row r="11" spans="1:3" x14ac:dyDescent="0.25">
      <c r="A11" t="s">
        <v>103</v>
      </c>
      <c r="B11">
        <v>20500</v>
      </c>
      <c r="C11">
        <v>14500</v>
      </c>
    </row>
    <row r="12" spans="1:3" x14ac:dyDescent="0.25">
      <c r="A12" t="s">
        <v>104</v>
      </c>
      <c r="B12">
        <v>22000</v>
      </c>
      <c r="C12">
        <v>5200</v>
      </c>
    </row>
    <row r="13" spans="1:3" x14ac:dyDescent="0.25">
      <c r="A13" t="s">
        <v>105</v>
      </c>
      <c r="B13">
        <v>25000</v>
      </c>
      <c r="C13">
        <v>3500</v>
      </c>
    </row>
    <row r="14" spans="1:3" x14ac:dyDescent="0.25">
      <c r="A14" t="s">
        <v>106</v>
      </c>
      <c r="B14">
        <v>14000</v>
      </c>
      <c r="C14">
        <v>5000</v>
      </c>
    </row>
    <row r="15" spans="1:3" x14ac:dyDescent="0.25">
      <c r="A15" t="s">
        <v>107</v>
      </c>
      <c r="B15">
        <v>30000</v>
      </c>
      <c r="C15">
        <v>15000</v>
      </c>
    </row>
    <row r="16" spans="1:3" x14ac:dyDescent="0.25">
      <c r="A16" t="s">
        <v>108</v>
      </c>
      <c r="B16">
        <v>10000</v>
      </c>
      <c r="C16">
        <v>25000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topLeftCell="A36" workbookViewId="0">
      <selection activeCell="P41" sqref="P41"/>
    </sheetView>
  </sheetViews>
  <sheetFormatPr defaultRowHeight="15" x14ac:dyDescent="0.25"/>
  <cols>
    <col min="1" max="1" width="9.42578125" bestFit="1" customWidth="1"/>
  </cols>
  <sheetData>
    <row r="1" spans="1:2" x14ac:dyDescent="0.25">
      <c r="A1" t="s">
        <v>0</v>
      </c>
    </row>
    <row r="2" spans="1:2" x14ac:dyDescent="0.25">
      <c r="A2" t="s">
        <v>12</v>
      </c>
    </row>
    <row r="4" spans="1:2" x14ac:dyDescent="0.25">
      <c r="A4" t="s">
        <v>13</v>
      </c>
      <c r="B4" t="s">
        <v>14</v>
      </c>
    </row>
    <row r="5" spans="1:2" x14ac:dyDescent="0.25">
      <c r="A5" s="1">
        <v>45819</v>
      </c>
      <c r="B5">
        <v>300</v>
      </c>
    </row>
    <row r="6" spans="1:2" x14ac:dyDescent="0.25">
      <c r="A6" s="1">
        <v>45820</v>
      </c>
      <c r="B6">
        <v>420</v>
      </c>
    </row>
    <row r="7" spans="1:2" x14ac:dyDescent="0.25">
      <c r="A7" s="1">
        <v>45821</v>
      </c>
      <c r="B7">
        <v>500</v>
      </c>
    </row>
    <row r="8" spans="1:2" x14ac:dyDescent="0.25">
      <c r="A8" s="1">
        <v>45822</v>
      </c>
      <c r="B8">
        <v>480</v>
      </c>
    </row>
    <row r="9" spans="1:2" x14ac:dyDescent="0.25">
      <c r="A9" s="1">
        <v>45823</v>
      </c>
      <c r="B9">
        <v>620</v>
      </c>
    </row>
    <row r="10" spans="1:2" x14ac:dyDescent="0.25">
      <c r="A10" s="1">
        <v>45824</v>
      </c>
      <c r="B10">
        <v>886</v>
      </c>
    </row>
    <row r="11" spans="1:2" x14ac:dyDescent="0.25">
      <c r="A11" s="1">
        <v>45825</v>
      </c>
      <c r="B11">
        <v>705</v>
      </c>
    </row>
    <row r="12" spans="1:2" x14ac:dyDescent="0.25">
      <c r="A12" s="1">
        <v>45826</v>
      </c>
      <c r="B12">
        <v>768</v>
      </c>
    </row>
    <row r="13" spans="1:2" x14ac:dyDescent="0.25">
      <c r="A13" s="1">
        <v>45827</v>
      </c>
      <c r="B13">
        <v>890</v>
      </c>
    </row>
    <row r="14" spans="1:2" x14ac:dyDescent="0.25">
      <c r="A14" s="1">
        <v>45828</v>
      </c>
      <c r="B14">
        <v>424</v>
      </c>
    </row>
    <row r="15" spans="1:2" x14ac:dyDescent="0.25">
      <c r="A15" s="1">
        <v>45829</v>
      </c>
      <c r="B15">
        <v>471</v>
      </c>
    </row>
    <row r="16" spans="1:2" x14ac:dyDescent="0.25">
      <c r="A16" s="1">
        <v>45830</v>
      </c>
      <c r="B16">
        <v>148</v>
      </c>
    </row>
    <row r="17" spans="1:2" x14ac:dyDescent="0.25">
      <c r="A17" s="1">
        <v>45831</v>
      </c>
      <c r="B17">
        <v>192</v>
      </c>
    </row>
    <row r="18" spans="1:2" x14ac:dyDescent="0.25">
      <c r="A18" s="1">
        <v>45832</v>
      </c>
      <c r="B18">
        <v>195</v>
      </c>
    </row>
    <row r="19" spans="1:2" x14ac:dyDescent="0.25">
      <c r="A19" s="1">
        <v>45833</v>
      </c>
      <c r="B19">
        <v>116</v>
      </c>
    </row>
    <row r="20" spans="1:2" x14ac:dyDescent="0.25">
      <c r="A20" s="1">
        <v>45834</v>
      </c>
      <c r="B20">
        <v>910</v>
      </c>
    </row>
    <row r="21" spans="1:2" x14ac:dyDescent="0.25">
      <c r="A21" s="1">
        <v>45835</v>
      </c>
      <c r="B21">
        <v>356</v>
      </c>
    </row>
    <row r="22" spans="1:2" x14ac:dyDescent="0.25">
      <c r="A22" s="1">
        <v>45836</v>
      </c>
      <c r="B22">
        <v>281</v>
      </c>
    </row>
    <row r="23" spans="1:2" x14ac:dyDescent="0.25">
      <c r="A23" s="1">
        <v>45837</v>
      </c>
      <c r="B23">
        <v>132</v>
      </c>
    </row>
    <row r="24" spans="1:2" x14ac:dyDescent="0.25">
      <c r="A24" s="1">
        <v>45838</v>
      </c>
      <c r="B24">
        <v>985</v>
      </c>
    </row>
    <row r="25" spans="1:2" x14ac:dyDescent="0.25">
      <c r="A25" s="1">
        <v>45839</v>
      </c>
      <c r="B25">
        <v>653</v>
      </c>
    </row>
    <row r="26" spans="1:2" x14ac:dyDescent="0.25">
      <c r="A26" s="1">
        <v>45840</v>
      </c>
      <c r="B26">
        <v>451</v>
      </c>
    </row>
    <row r="27" spans="1:2" x14ac:dyDescent="0.25">
      <c r="A27" s="1">
        <v>45841</v>
      </c>
      <c r="B27">
        <v>876</v>
      </c>
    </row>
    <row r="28" spans="1:2" x14ac:dyDescent="0.25">
      <c r="A28" s="1">
        <v>45842</v>
      </c>
      <c r="B28">
        <v>186</v>
      </c>
    </row>
    <row r="29" spans="1:2" x14ac:dyDescent="0.25">
      <c r="A29" s="1">
        <v>45843</v>
      </c>
      <c r="B29">
        <v>917</v>
      </c>
    </row>
    <row r="30" spans="1:2" x14ac:dyDescent="0.25">
      <c r="A30" s="1">
        <v>45844</v>
      </c>
      <c r="B30">
        <v>950</v>
      </c>
    </row>
    <row r="31" spans="1:2" x14ac:dyDescent="0.25">
      <c r="A31" s="1">
        <v>45845</v>
      </c>
      <c r="B31">
        <v>967</v>
      </c>
    </row>
    <row r="32" spans="1:2" x14ac:dyDescent="0.25">
      <c r="A32" s="1">
        <v>45846</v>
      </c>
      <c r="B32">
        <v>329</v>
      </c>
    </row>
    <row r="33" spans="1:2" x14ac:dyDescent="0.25">
      <c r="A33" s="1">
        <v>45847</v>
      </c>
      <c r="B33">
        <v>331</v>
      </c>
    </row>
    <row r="34" spans="1:2" x14ac:dyDescent="0.25">
      <c r="A34" s="1">
        <v>45848</v>
      </c>
      <c r="B34">
        <v>66</v>
      </c>
    </row>
    <row r="35" spans="1:2" x14ac:dyDescent="0.25">
      <c r="A35" s="1">
        <v>45849</v>
      </c>
      <c r="B35">
        <v>188</v>
      </c>
    </row>
    <row r="36" spans="1:2" x14ac:dyDescent="0.25">
      <c r="A36" s="1">
        <v>45850</v>
      </c>
      <c r="B36">
        <v>954</v>
      </c>
    </row>
    <row r="37" spans="1:2" x14ac:dyDescent="0.25">
      <c r="A37" s="1">
        <v>45851</v>
      </c>
      <c r="B37">
        <v>670</v>
      </c>
    </row>
    <row r="38" spans="1:2" x14ac:dyDescent="0.25">
      <c r="A38" s="1">
        <v>45852</v>
      </c>
      <c r="B38">
        <v>397</v>
      </c>
    </row>
    <row r="39" spans="1:2" x14ac:dyDescent="0.25">
      <c r="A39" s="1">
        <v>45853</v>
      </c>
      <c r="B39">
        <v>465</v>
      </c>
    </row>
    <row r="40" spans="1:2" x14ac:dyDescent="0.25">
      <c r="A40" s="1">
        <v>45854</v>
      </c>
      <c r="B40">
        <v>674</v>
      </c>
    </row>
    <row r="41" spans="1:2" x14ac:dyDescent="0.25">
      <c r="A41" s="1">
        <v>45855</v>
      </c>
      <c r="B41">
        <v>471</v>
      </c>
    </row>
    <row r="42" spans="1:2" x14ac:dyDescent="0.25">
      <c r="A42" s="1">
        <v>45856</v>
      </c>
      <c r="B42">
        <v>626</v>
      </c>
    </row>
    <row r="43" spans="1:2" x14ac:dyDescent="0.25">
      <c r="A43" s="1">
        <v>45857</v>
      </c>
      <c r="B43">
        <v>785</v>
      </c>
    </row>
    <row r="44" spans="1:2" x14ac:dyDescent="0.25">
      <c r="A44" s="1">
        <v>45858</v>
      </c>
      <c r="B44">
        <v>218</v>
      </c>
    </row>
    <row r="45" spans="1:2" x14ac:dyDescent="0.25">
      <c r="A45" s="1">
        <v>45859</v>
      </c>
      <c r="B45">
        <v>128</v>
      </c>
    </row>
    <row r="46" spans="1:2" x14ac:dyDescent="0.25">
      <c r="A46" s="1">
        <v>45860</v>
      </c>
      <c r="B46">
        <v>520</v>
      </c>
    </row>
    <row r="47" spans="1:2" x14ac:dyDescent="0.25">
      <c r="A47" s="1">
        <v>45861</v>
      </c>
      <c r="B47">
        <v>938</v>
      </c>
    </row>
    <row r="48" spans="1:2" x14ac:dyDescent="0.25">
      <c r="A48" s="1">
        <v>45862</v>
      </c>
      <c r="B48">
        <v>168</v>
      </c>
    </row>
    <row r="49" spans="1:2" x14ac:dyDescent="0.25">
      <c r="A49" s="1">
        <v>45863</v>
      </c>
      <c r="B49">
        <v>936</v>
      </c>
    </row>
    <row r="50" spans="1:2" x14ac:dyDescent="0.25">
      <c r="A50" s="1">
        <v>45864</v>
      </c>
      <c r="B50">
        <v>61</v>
      </c>
    </row>
    <row r="51" spans="1:2" x14ac:dyDescent="0.25">
      <c r="A51" s="1">
        <v>45865</v>
      </c>
      <c r="B51">
        <v>738</v>
      </c>
    </row>
    <row r="52" spans="1:2" x14ac:dyDescent="0.25">
      <c r="A52" s="1">
        <v>45866</v>
      </c>
      <c r="B52">
        <v>315</v>
      </c>
    </row>
    <row r="53" spans="1:2" x14ac:dyDescent="0.25">
      <c r="A53" s="1">
        <v>45867</v>
      </c>
      <c r="B53">
        <v>438</v>
      </c>
    </row>
    <row r="54" spans="1:2" x14ac:dyDescent="0.25">
      <c r="A54" s="1">
        <v>45868</v>
      </c>
      <c r="B54">
        <v>881</v>
      </c>
    </row>
    <row r="55" spans="1:2" x14ac:dyDescent="0.25">
      <c r="A55" s="1">
        <v>45869</v>
      </c>
      <c r="B55">
        <v>410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A4" sqref="A4:B1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>
        <v>2018</v>
      </c>
      <c r="B5">
        <v>50000</v>
      </c>
    </row>
    <row r="6" spans="1:2" x14ac:dyDescent="0.25">
      <c r="A6">
        <v>2019</v>
      </c>
      <c r="B6">
        <v>65000</v>
      </c>
    </row>
    <row r="7" spans="1:2" x14ac:dyDescent="0.25">
      <c r="A7">
        <v>2020</v>
      </c>
      <c r="B7">
        <v>82000</v>
      </c>
    </row>
    <row r="8" spans="1:2" x14ac:dyDescent="0.25">
      <c r="A8">
        <v>2021</v>
      </c>
      <c r="B8">
        <v>100000</v>
      </c>
    </row>
    <row r="9" spans="1:2" x14ac:dyDescent="0.25">
      <c r="A9">
        <v>2022</v>
      </c>
      <c r="B9">
        <v>65000</v>
      </c>
    </row>
    <row r="10" spans="1:2" x14ac:dyDescent="0.25">
      <c r="A10">
        <v>2023</v>
      </c>
      <c r="B10">
        <v>75000</v>
      </c>
    </row>
    <row r="11" spans="1:2" x14ac:dyDescent="0.25">
      <c r="A11">
        <v>2024</v>
      </c>
      <c r="B11">
        <v>35000</v>
      </c>
    </row>
    <row r="12" spans="1:2" x14ac:dyDescent="0.25">
      <c r="A12">
        <v>2025</v>
      </c>
      <c r="B12">
        <v>55500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A4" sqref="A4:B14"/>
    </sheetView>
  </sheetViews>
  <sheetFormatPr defaultRowHeight="15" x14ac:dyDescent="0.25"/>
  <cols>
    <col min="1" max="1" width="34.140625" bestFit="1" customWidth="1"/>
  </cols>
  <sheetData>
    <row r="1" spans="1:2" x14ac:dyDescent="0.25">
      <c r="A1" t="s">
        <v>0</v>
      </c>
    </row>
    <row r="2" spans="1:2" x14ac:dyDescent="0.25">
      <c r="A2" t="s">
        <v>18</v>
      </c>
    </row>
    <row r="4" spans="1:2" x14ac:dyDescent="0.25">
      <c r="A4" t="s">
        <v>19</v>
      </c>
      <c r="B4" t="s">
        <v>20</v>
      </c>
    </row>
    <row r="5" spans="1:2" x14ac:dyDescent="0.25">
      <c r="A5" t="s">
        <v>109</v>
      </c>
      <c r="B5">
        <v>250</v>
      </c>
    </row>
    <row r="6" spans="1:2" x14ac:dyDescent="0.25">
      <c r="A6" t="s">
        <v>110</v>
      </c>
      <c r="B6">
        <v>180</v>
      </c>
    </row>
    <row r="7" spans="1:2" x14ac:dyDescent="0.25">
      <c r="A7" t="s">
        <v>110</v>
      </c>
      <c r="B7">
        <v>120</v>
      </c>
    </row>
    <row r="8" spans="1:2" x14ac:dyDescent="0.25">
      <c r="A8" t="s">
        <v>111</v>
      </c>
      <c r="B8">
        <v>90</v>
      </c>
    </row>
    <row r="9" spans="1:2" x14ac:dyDescent="0.25">
      <c r="A9" t="s">
        <v>112</v>
      </c>
      <c r="B9">
        <v>100</v>
      </c>
    </row>
    <row r="10" spans="1:2" x14ac:dyDescent="0.25">
      <c r="A10" t="s">
        <v>113</v>
      </c>
      <c r="B10">
        <v>250</v>
      </c>
    </row>
    <row r="11" spans="1:2" x14ac:dyDescent="0.25">
      <c r="A11" t="s">
        <v>114</v>
      </c>
      <c r="B11">
        <v>300</v>
      </c>
    </row>
    <row r="12" spans="1:2" x14ac:dyDescent="0.25">
      <c r="A12" t="s">
        <v>115</v>
      </c>
      <c r="B12">
        <v>80</v>
      </c>
    </row>
    <row r="13" spans="1:2" x14ac:dyDescent="0.25">
      <c r="A13" t="s">
        <v>116</v>
      </c>
      <c r="B13">
        <v>200</v>
      </c>
    </row>
    <row r="14" spans="1:2" x14ac:dyDescent="0.25">
      <c r="A14" t="s">
        <v>117</v>
      </c>
      <c r="B14">
        <v>150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>
      <selection activeCell="A4" sqref="A4:B1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26</v>
      </c>
      <c r="B5">
        <v>15000</v>
      </c>
    </row>
    <row r="6" spans="1:2" x14ac:dyDescent="0.25">
      <c r="A6" t="s">
        <v>27</v>
      </c>
      <c r="B6">
        <v>8000</v>
      </c>
    </row>
    <row r="7" spans="1:2" x14ac:dyDescent="0.25">
      <c r="A7" t="s">
        <v>28</v>
      </c>
      <c r="B7">
        <v>3000</v>
      </c>
    </row>
    <row r="8" spans="1:2" x14ac:dyDescent="0.25">
      <c r="A8" t="s">
        <v>29</v>
      </c>
      <c r="B8">
        <v>5000</v>
      </c>
    </row>
    <row r="9" spans="1:2" x14ac:dyDescent="0.25">
      <c r="A9" t="s">
        <v>136</v>
      </c>
      <c r="B9">
        <v>1500</v>
      </c>
    </row>
    <row r="10" spans="1:2" x14ac:dyDescent="0.25">
      <c r="A10" t="s">
        <v>137</v>
      </c>
      <c r="B10">
        <v>2000</v>
      </c>
    </row>
    <row r="11" spans="1:2" x14ac:dyDescent="0.25">
      <c r="A11" t="s">
        <v>139</v>
      </c>
      <c r="B11">
        <v>1000</v>
      </c>
    </row>
    <row r="12" spans="1:2" x14ac:dyDescent="0.25">
      <c r="A12" t="s">
        <v>138</v>
      </c>
      <c r="B12">
        <v>1200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O6" sqref="O6"/>
    </sheetView>
  </sheetViews>
  <sheetFormatPr defaultRowHeight="15" x14ac:dyDescent="0.25"/>
  <cols>
    <col min="1" max="1" width="14.5703125" customWidth="1"/>
    <col min="2" max="3" width="11.7109375" bestFit="1" customWidth="1"/>
  </cols>
  <sheetData>
    <row r="1" spans="1:3" x14ac:dyDescent="0.25">
      <c r="A1" t="s">
        <v>0</v>
      </c>
    </row>
    <row r="2" spans="1:3" x14ac:dyDescent="0.25">
      <c r="A2" t="s">
        <v>30</v>
      </c>
    </row>
    <row r="4" spans="1:3" x14ac:dyDescent="0.25">
      <c r="A4" t="s">
        <v>31</v>
      </c>
      <c r="B4" t="s">
        <v>118</v>
      </c>
      <c r="C4" t="s">
        <v>119</v>
      </c>
    </row>
    <row r="5" spans="1:3" x14ac:dyDescent="0.25">
      <c r="A5" t="s">
        <v>32</v>
      </c>
      <c r="B5">
        <v>20000</v>
      </c>
      <c r="C5">
        <v>18500</v>
      </c>
    </row>
    <row r="6" spans="1:3" x14ac:dyDescent="0.25">
      <c r="A6" t="s">
        <v>33</v>
      </c>
      <c r="B6">
        <v>40000</v>
      </c>
      <c r="C6">
        <v>45000</v>
      </c>
    </row>
    <row r="7" spans="1:3" x14ac:dyDescent="0.25">
      <c r="A7" t="s">
        <v>20</v>
      </c>
      <c r="B7">
        <v>30000</v>
      </c>
      <c r="C7">
        <v>50000</v>
      </c>
    </row>
    <row r="8" spans="1:3" x14ac:dyDescent="0.25">
      <c r="A8" t="s">
        <v>34</v>
      </c>
      <c r="B8">
        <v>15000</v>
      </c>
      <c r="C8">
        <v>25000</v>
      </c>
    </row>
  </sheetData>
  <phoneticPr fontId="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"/>
  <sheetViews>
    <sheetView topLeftCell="A4" workbookViewId="0">
      <selection activeCell="C5" sqref="C5:C8"/>
    </sheetView>
  </sheetViews>
  <sheetFormatPr defaultRowHeight="15" x14ac:dyDescent="0.25"/>
  <cols>
    <col min="1" max="1" width="13.85546875" customWidth="1"/>
    <col min="2" max="2" width="11.85546875" bestFit="1" customWidth="1"/>
    <col min="3" max="3" width="6" bestFit="1" customWidth="1"/>
  </cols>
  <sheetData>
    <row r="1" spans="1:3" x14ac:dyDescent="0.25">
      <c r="A1" t="s">
        <v>0</v>
      </c>
    </row>
    <row r="2" spans="1:3" x14ac:dyDescent="0.25">
      <c r="A2" t="s">
        <v>35</v>
      </c>
    </row>
    <row r="4" spans="1:3" x14ac:dyDescent="0.25">
      <c r="A4" t="s">
        <v>24</v>
      </c>
      <c r="B4" t="s">
        <v>36</v>
      </c>
      <c r="C4" t="s">
        <v>20</v>
      </c>
    </row>
    <row r="5" spans="1:3" x14ac:dyDescent="0.25">
      <c r="A5" t="s">
        <v>37</v>
      </c>
      <c r="B5" t="s">
        <v>21</v>
      </c>
      <c r="C5">
        <v>20000</v>
      </c>
    </row>
    <row r="6" spans="1:3" x14ac:dyDescent="0.25">
      <c r="B6" t="s">
        <v>22</v>
      </c>
      <c r="C6">
        <v>15000</v>
      </c>
    </row>
    <row r="7" spans="1:3" s="5" customFormat="1" x14ac:dyDescent="0.25">
      <c r="B7" s="5" t="s">
        <v>142</v>
      </c>
      <c r="C7" s="5">
        <v>10000</v>
      </c>
    </row>
    <row r="8" spans="1:3" s="5" customFormat="1" x14ac:dyDescent="0.25">
      <c r="B8" s="5" t="s">
        <v>143</v>
      </c>
      <c r="C8" s="5">
        <v>8000</v>
      </c>
    </row>
    <row r="9" spans="1:3" x14ac:dyDescent="0.25">
      <c r="A9" t="s">
        <v>38</v>
      </c>
      <c r="B9" t="s">
        <v>39</v>
      </c>
      <c r="C9">
        <v>30000</v>
      </c>
    </row>
    <row r="10" spans="1:3" x14ac:dyDescent="0.25">
      <c r="B10" t="s">
        <v>40</v>
      </c>
      <c r="C10">
        <v>20000</v>
      </c>
    </row>
    <row r="11" spans="1:3" s="5" customFormat="1" x14ac:dyDescent="0.25">
      <c r="B11" s="5" t="s">
        <v>141</v>
      </c>
      <c r="C11" s="5">
        <v>25000</v>
      </c>
    </row>
    <row r="12" spans="1:3" x14ac:dyDescent="0.25">
      <c r="A12" t="s">
        <v>39</v>
      </c>
      <c r="B12" t="s">
        <v>120</v>
      </c>
      <c r="C12">
        <v>28500</v>
      </c>
    </row>
    <row r="13" spans="1:3" x14ac:dyDescent="0.25">
      <c r="B13" t="s">
        <v>121</v>
      </c>
      <c r="C13">
        <v>15000</v>
      </c>
    </row>
    <row r="14" spans="1:3" x14ac:dyDescent="0.25">
      <c r="B14" t="s">
        <v>140</v>
      </c>
      <c r="C14">
        <v>8000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E4C2-76E6-443A-9BCB-8B8854724269}">
  <dimension ref="A1:A31"/>
  <sheetViews>
    <sheetView topLeftCell="A4" workbookViewId="0">
      <selection activeCell="M18" sqref="M18"/>
    </sheetView>
  </sheetViews>
  <sheetFormatPr defaultRowHeight="15" x14ac:dyDescent="0.25"/>
  <cols>
    <col min="1" max="1" width="9.140625" style="5"/>
  </cols>
  <sheetData>
    <row r="1" spans="1:1" x14ac:dyDescent="0.25">
      <c r="A1" s="5" t="s">
        <v>132</v>
      </c>
    </row>
    <row r="2" spans="1:1" x14ac:dyDescent="0.25">
      <c r="A2" s="5" t="s">
        <v>133</v>
      </c>
    </row>
    <row r="4" spans="1:1" x14ac:dyDescent="0.25">
      <c r="A4" s="5" t="s">
        <v>134</v>
      </c>
    </row>
    <row r="5" spans="1:1" x14ac:dyDescent="0.25">
      <c r="A5" s="5">
        <v>40</v>
      </c>
    </row>
    <row r="6" spans="1:1" x14ac:dyDescent="0.25">
      <c r="A6" s="5">
        <v>50</v>
      </c>
    </row>
    <row r="7" spans="1:1" x14ac:dyDescent="0.25">
      <c r="A7" s="5">
        <v>60</v>
      </c>
    </row>
    <row r="8" spans="1:1" x14ac:dyDescent="0.25">
      <c r="A8" s="5">
        <v>70</v>
      </c>
    </row>
    <row r="9" spans="1:1" x14ac:dyDescent="0.25">
      <c r="A9" s="5">
        <v>80</v>
      </c>
    </row>
    <row r="10" spans="1:1" x14ac:dyDescent="0.25">
      <c r="A10" s="5">
        <v>90</v>
      </c>
    </row>
    <row r="11" spans="1:1" x14ac:dyDescent="0.25">
      <c r="A11" s="5">
        <v>25</v>
      </c>
    </row>
    <row r="12" spans="1:1" x14ac:dyDescent="0.25">
      <c r="A12" s="5">
        <v>40</v>
      </c>
    </row>
    <row r="13" spans="1:1" x14ac:dyDescent="0.25">
      <c r="A13" s="5">
        <v>50</v>
      </c>
    </row>
    <row r="14" spans="1:1" x14ac:dyDescent="0.25">
      <c r="A14" s="5">
        <v>45</v>
      </c>
    </row>
    <row r="15" spans="1:1" x14ac:dyDescent="0.25">
      <c r="A15" s="5">
        <v>55</v>
      </c>
    </row>
    <row r="16" spans="1:1" x14ac:dyDescent="0.25">
      <c r="A16" s="5">
        <v>65</v>
      </c>
    </row>
    <row r="17" spans="1:1" x14ac:dyDescent="0.25">
      <c r="A17" s="5">
        <v>15</v>
      </c>
    </row>
    <row r="18" spans="1:1" x14ac:dyDescent="0.25">
      <c r="A18" s="5">
        <v>10</v>
      </c>
    </row>
    <row r="19" spans="1:1" x14ac:dyDescent="0.25">
      <c r="A19" s="5">
        <v>52</v>
      </c>
    </row>
    <row r="20" spans="1:1" x14ac:dyDescent="0.25">
      <c r="A20" s="5">
        <v>18</v>
      </c>
    </row>
    <row r="21" spans="1:1" x14ac:dyDescent="0.25">
      <c r="A21" s="5">
        <v>22</v>
      </c>
    </row>
    <row r="22" spans="1:1" x14ac:dyDescent="0.25">
      <c r="A22" s="5">
        <v>15</v>
      </c>
    </row>
    <row r="23" spans="1:1" x14ac:dyDescent="0.25">
      <c r="A23" s="5">
        <v>19</v>
      </c>
    </row>
    <row r="24" spans="1:1" x14ac:dyDescent="0.25">
      <c r="A24" s="5">
        <v>20</v>
      </c>
    </row>
    <row r="25" spans="1:1" x14ac:dyDescent="0.25">
      <c r="A25" s="5">
        <v>17</v>
      </c>
    </row>
    <row r="26" spans="1:1" x14ac:dyDescent="0.25">
      <c r="A26" s="5">
        <v>19</v>
      </c>
    </row>
    <row r="27" spans="1:1" x14ac:dyDescent="0.25">
      <c r="A27" s="5">
        <v>85</v>
      </c>
    </row>
    <row r="28" spans="1:1" x14ac:dyDescent="0.25">
      <c r="A28" s="5">
        <v>5</v>
      </c>
    </row>
    <row r="29" spans="1:1" x14ac:dyDescent="0.25">
      <c r="A29" s="5">
        <v>15</v>
      </c>
    </row>
    <row r="30" spans="1:1" x14ac:dyDescent="0.25">
      <c r="A30" s="5">
        <v>37</v>
      </c>
    </row>
    <row r="31" spans="1:1" x14ac:dyDescent="0.25">
      <c r="A31" s="5">
        <v>125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workbookViewId="0">
      <selection activeCell="B5" sqref="B5:B6"/>
    </sheetView>
  </sheetViews>
  <sheetFormatPr defaultRowHeight="15" x14ac:dyDescent="0.25"/>
  <cols>
    <col min="2" max="2" width="12" bestFit="1" customWidth="1"/>
  </cols>
  <sheetData>
    <row r="1" spans="1:3" x14ac:dyDescent="0.25">
      <c r="A1" t="s">
        <v>0</v>
      </c>
    </row>
    <row r="2" spans="1:3" x14ac:dyDescent="0.25">
      <c r="A2" t="s">
        <v>41</v>
      </c>
    </row>
    <row r="4" spans="1:3" x14ac:dyDescent="0.25">
      <c r="A4" t="s">
        <v>42</v>
      </c>
      <c r="B4" t="s">
        <v>43</v>
      </c>
      <c r="C4" t="s">
        <v>44</v>
      </c>
    </row>
    <row r="5" spans="1:3" x14ac:dyDescent="0.25">
      <c r="A5" t="s">
        <v>45</v>
      </c>
      <c r="B5" t="s">
        <v>46</v>
      </c>
      <c r="C5">
        <v>40</v>
      </c>
    </row>
    <row r="6" spans="1:3" x14ac:dyDescent="0.25">
      <c r="A6" s="5" t="s">
        <v>45</v>
      </c>
      <c r="B6" t="s">
        <v>47</v>
      </c>
      <c r="C6">
        <v>60</v>
      </c>
    </row>
    <row r="7" spans="1:3" x14ac:dyDescent="0.25">
      <c r="A7" s="5" t="s">
        <v>45</v>
      </c>
      <c r="B7" t="s">
        <v>123</v>
      </c>
      <c r="C7">
        <v>56</v>
      </c>
    </row>
    <row r="8" spans="1:3" x14ac:dyDescent="0.25">
      <c r="A8" t="s">
        <v>48</v>
      </c>
      <c r="B8" t="s">
        <v>49</v>
      </c>
      <c r="C8">
        <v>30</v>
      </c>
    </row>
    <row r="9" spans="1:3" x14ac:dyDescent="0.25">
      <c r="A9" t="s">
        <v>48</v>
      </c>
      <c r="B9" t="s">
        <v>50</v>
      </c>
      <c r="C9">
        <v>20</v>
      </c>
    </row>
    <row r="10" spans="1:3" x14ac:dyDescent="0.25">
      <c r="A10" t="s">
        <v>122</v>
      </c>
      <c r="B10" t="s">
        <v>124</v>
      </c>
      <c r="C10">
        <v>40</v>
      </c>
    </row>
    <row r="11" spans="1:3" x14ac:dyDescent="0.25">
      <c r="A11" t="s">
        <v>122</v>
      </c>
      <c r="B11" t="s">
        <v>125</v>
      </c>
      <c r="C11">
        <v>35</v>
      </c>
    </row>
    <row r="12" spans="1:3" x14ac:dyDescent="0.25">
      <c r="A12" t="s">
        <v>122</v>
      </c>
      <c r="B12" t="s">
        <v>126</v>
      </c>
      <c r="C12">
        <v>22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5E54-7E13-4D8E-91A3-9A3AEF0DC88C}">
  <dimension ref="A1:D7"/>
  <sheetViews>
    <sheetView workbookViewId="0">
      <selection activeCell="R7" sqref="R7"/>
    </sheetView>
  </sheetViews>
  <sheetFormatPr defaultRowHeight="15" x14ac:dyDescent="0.25"/>
  <cols>
    <col min="3" max="3" width="11.5703125" customWidth="1"/>
    <col min="4" max="4" width="11.28515625" customWidth="1"/>
  </cols>
  <sheetData>
    <row r="1" spans="1:4" x14ac:dyDescent="0.25">
      <c r="A1" t="s">
        <v>149</v>
      </c>
      <c r="B1" t="s">
        <v>134</v>
      </c>
      <c r="C1" t="s">
        <v>127</v>
      </c>
      <c r="D1" t="s">
        <v>148</v>
      </c>
    </row>
    <row r="2" spans="1:4" x14ac:dyDescent="0.25">
      <c r="A2" t="s">
        <v>94</v>
      </c>
      <c r="B2">
        <v>70</v>
      </c>
      <c r="C2">
        <f>B2</f>
        <v>70</v>
      </c>
      <c r="D2" s="6">
        <f>C2/$C$7</f>
        <v>0.20895522388059701</v>
      </c>
    </row>
    <row r="3" spans="1:4" x14ac:dyDescent="0.25">
      <c r="A3" t="s">
        <v>144</v>
      </c>
      <c r="B3">
        <v>75</v>
      </c>
      <c r="C3">
        <f>C2+B3</f>
        <v>145</v>
      </c>
      <c r="D3" s="6">
        <f t="shared" ref="D3:D7" si="0">C3/$C$7</f>
        <v>0.43283582089552236</v>
      </c>
    </row>
    <row r="4" spans="1:4" x14ac:dyDescent="0.25">
      <c r="A4" t="s">
        <v>145</v>
      </c>
      <c r="B4">
        <v>65</v>
      </c>
      <c r="C4" s="5">
        <f t="shared" ref="C4:C7" si="1">C3+B4</f>
        <v>210</v>
      </c>
      <c r="D4" s="6">
        <f t="shared" si="0"/>
        <v>0.62686567164179108</v>
      </c>
    </row>
    <row r="5" spans="1:4" x14ac:dyDescent="0.25">
      <c r="A5" t="s">
        <v>93</v>
      </c>
      <c r="B5">
        <v>45</v>
      </c>
      <c r="C5" s="5">
        <f t="shared" si="1"/>
        <v>255</v>
      </c>
      <c r="D5" s="6">
        <f t="shared" si="0"/>
        <v>0.76119402985074625</v>
      </c>
    </row>
    <row r="6" spans="1:4" x14ac:dyDescent="0.25">
      <c r="A6" t="s">
        <v>146</v>
      </c>
      <c r="B6">
        <v>55</v>
      </c>
      <c r="C6" s="5">
        <f t="shared" si="1"/>
        <v>310</v>
      </c>
      <c r="D6" s="6">
        <f t="shared" si="0"/>
        <v>0.92537313432835822</v>
      </c>
    </row>
    <row r="7" spans="1:4" x14ac:dyDescent="0.25">
      <c r="A7" t="s">
        <v>147</v>
      </c>
      <c r="B7">
        <v>25</v>
      </c>
      <c r="C7" s="5">
        <f t="shared" si="1"/>
        <v>335</v>
      </c>
      <c r="D7" s="6">
        <f t="shared" si="0"/>
        <v>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D475-AC66-45CA-B392-C2DF70ED8289}">
  <dimension ref="A1:C6"/>
  <sheetViews>
    <sheetView workbookViewId="0">
      <selection activeCell="J15" sqref="J15"/>
    </sheetView>
  </sheetViews>
  <sheetFormatPr defaultRowHeight="15" x14ac:dyDescent="0.25"/>
  <cols>
    <col min="1" max="1" width="13.85546875" customWidth="1"/>
    <col min="2" max="2" width="14.140625" customWidth="1"/>
    <col min="3" max="3" width="13.7109375" customWidth="1"/>
  </cols>
  <sheetData>
    <row r="1" spans="1:3" x14ac:dyDescent="0.25">
      <c r="A1" t="s">
        <v>19</v>
      </c>
      <c r="B1" t="s">
        <v>150</v>
      </c>
      <c r="C1" t="s">
        <v>151</v>
      </c>
    </row>
    <row r="2" spans="1:3" x14ac:dyDescent="0.25">
      <c r="A2" t="s">
        <v>152</v>
      </c>
      <c r="B2">
        <v>1000</v>
      </c>
      <c r="C2">
        <v>1000</v>
      </c>
    </row>
    <row r="3" spans="1:3" x14ac:dyDescent="0.25">
      <c r="A3" t="s">
        <v>22</v>
      </c>
      <c r="B3">
        <v>400</v>
      </c>
      <c r="C3">
        <v>200</v>
      </c>
    </row>
    <row r="4" spans="1:3" x14ac:dyDescent="0.25">
      <c r="A4" t="s">
        <v>153</v>
      </c>
      <c r="B4">
        <v>1000</v>
      </c>
      <c r="C4">
        <v>1100</v>
      </c>
    </row>
    <row r="5" spans="1:3" x14ac:dyDescent="0.25">
      <c r="A5" t="s">
        <v>154</v>
      </c>
      <c r="B5">
        <v>800</v>
      </c>
      <c r="C5">
        <v>850</v>
      </c>
    </row>
    <row r="6" spans="1:3" x14ac:dyDescent="0.25">
      <c r="A6" t="s">
        <v>155</v>
      </c>
      <c r="B6">
        <v>1200</v>
      </c>
      <c r="C6">
        <v>750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3BDF-A34C-4D0A-9F01-6CF5982333C9}">
  <dimension ref="A1:C6"/>
  <sheetViews>
    <sheetView topLeftCell="C1" workbookViewId="0">
      <selection activeCell="S12" sqref="S12"/>
    </sheetView>
  </sheetViews>
  <sheetFormatPr defaultRowHeight="15" x14ac:dyDescent="0.25"/>
  <cols>
    <col min="1" max="1" width="12.28515625" bestFit="1" customWidth="1"/>
    <col min="3" max="3" width="11.5703125" bestFit="1" customWidth="1"/>
  </cols>
  <sheetData>
    <row r="1" spans="1:3" x14ac:dyDescent="0.25">
      <c r="A1" s="8" t="s">
        <v>19</v>
      </c>
      <c r="B1" s="8" t="s">
        <v>156</v>
      </c>
      <c r="C1" s="8" t="s">
        <v>157</v>
      </c>
    </row>
    <row r="2" spans="1:3" x14ac:dyDescent="0.25">
      <c r="A2" s="8" t="s">
        <v>152</v>
      </c>
      <c r="B2" s="8">
        <v>1000</v>
      </c>
      <c r="C2" s="8">
        <v>1000</v>
      </c>
    </row>
    <row r="3" spans="1:3" x14ac:dyDescent="0.25">
      <c r="A3" s="8" t="s">
        <v>22</v>
      </c>
      <c r="B3" s="8">
        <v>400</v>
      </c>
      <c r="C3" s="8">
        <v>200</v>
      </c>
    </row>
    <row r="4" spans="1:3" x14ac:dyDescent="0.25">
      <c r="A4" s="8" t="s">
        <v>153</v>
      </c>
      <c r="B4" s="8">
        <v>1000</v>
      </c>
      <c r="C4" s="8">
        <v>1100</v>
      </c>
    </row>
    <row r="5" spans="1:3" x14ac:dyDescent="0.25">
      <c r="A5" s="8" t="s">
        <v>154</v>
      </c>
      <c r="B5" s="8">
        <v>800</v>
      </c>
      <c r="C5" s="8">
        <v>850</v>
      </c>
    </row>
    <row r="6" spans="1:3" x14ac:dyDescent="0.25">
      <c r="A6" s="8" t="s">
        <v>155</v>
      </c>
      <c r="B6" s="8">
        <v>1200</v>
      </c>
      <c r="C6" s="8">
        <v>750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381E-2AB6-4B91-98E8-7367E2D86838}">
  <dimension ref="A1:C6"/>
  <sheetViews>
    <sheetView tabSelected="1" workbookViewId="0">
      <selection activeCell="M15" sqref="M15"/>
    </sheetView>
  </sheetViews>
  <sheetFormatPr defaultRowHeight="15" x14ac:dyDescent="0.25"/>
  <cols>
    <col min="1" max="1" width="12.28515625" bestFit="1" customWidth="1"/>
    <col min="2" max="2" width="11.5703125" bestFit="1" customWidth="1"/>
  </cols>
  <sheetData>
    <row r="1" spans="1:3" x14ac:dyDescent="0.25">
      <c r="A1" s="8" t="s">
        <v>19</v>
      </c>
      <c r="B1" s="8" t="s">
        <v>150</v>
      </c>
    </row>
    <row r="2" spans="1:3" x14ac:dyDescent="0.25">
      <c r="A2" s="8" t="s">
        <v>152</v>
      </c>
      <c r="B2" s="7">
        <v>0.8</v>
      </c>
      <c r="C2" s="7">
        <f>1-B2</f>
        <v>0.19999999999999996</v>
      </c>
    </row>
    <row r="3" spans="1:3" x14ac:dyDescent="0.25">
      <c r="A3" s="8" t="s">
        <v>22</v>
      </c>
      <c r="B3" s="7">
        <v>0.25</v>
      </c>
      <c r="C3" s="7">
        <f t="shared" ref="C3:C6" si="0">1-B3</f>
        <v>0.75</v>
      </c>
    </row>
    <row r="4" spans="1:3" x14ac:dyDescent="0.25">
      <c r="A4" s="8" t="s">
        <v>153</v>
      </c>
      <c r="B4" s="7">
        <v>0.25</v>
      </c>
      <c r="C4" s="7">
        <f t="shared" si="0"/>
        <v>0.75</v>
      </c>
    </row>
    <row r="5" spans="1:3" x14ac:dyDescent="0.25">
      <c r="A5" s="8" t="s">
        <v>154</v>
      </c>
      <c r="B5" s="7">
        <v>0.75</v>
      </c>
      <c r="C5" s="7">
        <f t="shared" si="0"/>
        <v>0.25</v>
      </c>
    </row>
    <row r="6" spans="1:3" x14ac:dyDescent="0.25">
      <c r="A6" s="8" t="s">
        <v>155</v>
      </c>
      <c r="B6" s="7">
        <v>0.88</v>
      </c>
      <c r="C6" s="7">
        <f t="shared" si="0"/>
        <v>0.12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"/>
  <sheetViews>
    <sheetView topLeftCell="A7" workbookViewId="0">
      <selection activeCell="A13" sqref="A13:D20"/>
    </sheetView>
  </sheetViews>
  <sheetFormatPr defaultRowHeight="15" x14ac:dyDescent="0.25"/>
  <cols>
    <col min="1" max="1" width="15.85546875" customWidth="1"/>
    <col min="2" max="2" width="10.28515625" bestFit="1" customWidth="1"/>
    <col min="3" max="3" width="12.85546875" customWidth="1"/>
    <col min="4" max="4" width="13.7109375" customWidth="1"/>
  </cols>
  <sheetData>
    <row r="1" spans="1:4" x14ac:dyDescent="0.25">
      <c r="A1" t="s">
        <v>0</v>
      </c>
    </row>
    <row r="2" spans="1:4" x14ac:dyDescent="0.25">
      <c r="A2" t="s">
        <v>51</v>
      </c>
    </row>
    <row r="4" spans="1:4" x14ac:dyDescent="0.25">
      <c r="A4" t="s">
        <v>52</v>
      </c>
      <c r="B4" t="s">
        <v>53</v>
      </c>
    </row>
    <row r="5" spans="1:4" x14ac:dyDescent="0.25">
      <c r="A5" t="s">
        <v>54</v>
      </c>
      <c r="B5">
        <v>40</v>
      </c>
    </row>
    <row r="6" spans="1:4" x14ac:dyDescent="0.25">
      <c r="A6" t="s">
        <v>55</v>
      </c>
      <c r="B6">
        <v>25</v>
      </c>
    </row>
    <row r="7" spans="1:4" x14ac:dyDescent="0.25">
      <c r="A7" t="s">
        <v>56</v>
      </c>
      <c r="B7">
        <v>15</v>
      </c>
    </row>
    <row r="8" spans="1:4" x14ac:dyDescent="0.25">
      <c r="A8" t="s">
        <v>57</v>
      </c>
      <c r="B8">
        <v>5</v>
      </c>
    </row>
    <row r="13" spans="1:4" ht="30" x14ac:dyDescent="0.25">
      <c r="A13" s="2" t="s">
        <v>52</v>
      </c>
      <c r="B13" s="2" t="s">
        <v>53</v>
      </c>
      <c r="C13" s="2" t="s">
        <v>127</v>
      </c>
      <c r="D13" s="2" t="s">
        <v>128</v>
      </c>
    </row>
    <row r="14" spans="1:4" x14ac:dyDescent="0.25">
      <c r="A14" s="3" t="s">
        <v>54</v>
      </c>
      <c r="B14" s="3">
        <v>85</v>
      </c>
      <c r="C14" s="3">
        <f>B14</f>
        <v>85</v>
      </c>
      <c r="D14" s="4">
        <f>C14/SUM($B$14:$B$20)</f>
        <v>0.32692307692307693</v>
      </c>
    </row>
    <row r="15" spans="1:4" ht="30" x14ac:dyDescent="0.25">
      <c r="A15" s="3" t="s">
        <v>55</v>
      </c>
      <c r="B15" s="3">
        <v>60</v>
      </c>
      <c r="C15" s="3">
        <f>C14+B15</f>
        <v>145</v>
      </c>
      <c r="D15" s="4">
        <f t="shared" ref="D15:D20" si="0">C15/SUM($B$14:$B$20)</f>
        <v>0.55769230769230771</v>
      </c>
    </row>
    <row r="16" spans="1:4" x14ac:dyDescent="0.25">
      <c r="A16" s="3" t="s">
        <v>56</v>
      </c>
      <c r="B16" s="3">
        <v>40</v>
      </c>
      <c r="C16" s="3">
        <f t="shared" ref="C16:C20" si="1">C15+B16</f>
        <v>185</v>
      </c>
      <c r="D16" s="4">
        <f t="shared" si="0"/>
        <v>0.71153846153846156</v>
      </c>
    </row>
    <row r="17" spans="1:4" x14ac:dyDescent="0.25">
      <c r="A17" s="3" t="s">
        <v>129</v>
      </c>
      <c r="B17" s="3">
        <v>30</v>
      </c>
      <c r="C17" s="3">
        <f t="shared" si="1"/>
        <v>215</v>
      </c>
      <c r="D17" s="4">
        <f t="shared" si="0"/>
        <v>0.82692307692307687</v>
      </c>
    </row>
    <row r="18" spans="1:4" x14ac:dyDescent="0.25">
      <c r="A18" s="3" t="s">
        <v>130</v>
      </c>
      <c r="B18" s="3">
        <v>20</v>
      </c>
      <c r="C18" s="3">
        <f t="shared" si="1"/>
        <v>235</v>
      </c>
      <c r="D18" s="4">
        <f t="shared" si="0"/>
        <v>0.90384615384615385</v>
      </c>
    </row>
    <row r="19" spans="1:4" x14ac:dyDescent="0.25">
      <c r="A19" s="3" t="s">
        <v>131</v>
      </c>
      <c r="B19" s="3">
        <v>15</v>
      </c>
      <c r="C19" s="3">
        <f t="shared" si="1"/>
        <v>250</v>
      </c>
      <c r="D19" s="4">
        <f t="shared" si="0"/>
        <v>0.96153846153846156</v>
      </c>
    </row>
    <row r="20" spans="1:4" x14ac:dyDescent="0.25">
      <c r="A20" s="3" t="s">
        <v>57</v>
      </c>
      <c r="B20" s="3">
        <v>10</v>
      </c>
      <c r="C20" s="3">
        <f t="shared" si="1"/>
        <v>260</v>
      </c>
      <c r="D20" s="4">
        <f t="shared" si="0"/>
        <v>1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workbookViewId="0">
      <selection activeCell="G7" sqref="G7"/>
    </sheetView>
  </sheetViews>
  <sheetFormatPr defaultRowHeight="15" x14ac:dyDescent="0.25"/>
  <cols>
    <col min="4" max="4" width="11.28515625" bestFit="1" customWidth="1"/>
  </cols>
  <sheetData>
    <row r="1" spans="1:4" x14ac:dyDescent="0.25">
      <c r="A1" t="s">
        <v>0</v>
      </c>
    </row>
    <row r="2" spans="1:4" x14ac:dyDescent="0.25">
      <c r="A2" t="s">
        <v>58</v>
      </c>
    </row>
    <row r="4" spans="1:4" x14ac:dyDescent="0.25">
      <c r="A4" t="s">
        <v>19</v>
      </c>
      <c r="B4" t="s">
        <v>20</v>
      </c>
      <c r="C4" t="s">
        <v>59</v>
      </c>
      <c r="D4" t="s">
        <v>60</v>
      </c>
    </row>
    <row r="5" spans="1:4" x14ac:dyDescent="0.25">
      <c r="A5" t="s">
        <v>61</v>
      </c>
      <c r="B5">
        <v>50</v>
      </c>
      <c r="C5">
        <v>20</v>
      </c>
      <c r="D5">
        <v>200</v>
      </c>
    </row>
    <row r="6" spans="1:4" x14ac:dyDescent="0.25">
      <c r="A6" t="s">
        <v>62</v>
      </c>
      <c r="B6">
        <v>70</v>
      </c>
      <c r="C6">
        <v>30</v>
      </c>
      <c r="D6">
        <v>300</v>
      </c>
    </row>
    <row r="7" spans="1:4" x14ac:dyDescent="0.25">
      <c r="A7" t="s">
        <v>63</v>
      </c>
      <c r="B7">
        <v>60</v>
      </c>
      <c r="C7">
        <v>25</v>
      </c>
      <c r="D7">
        <v>250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A4" sqref="A4:B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64</v>
      </c>
    </row>
    <row r="4" spans="1:2" x14ac:dyDescent="0.25">
      <c r="A4" t="s">
        <v>65</v>
      </c>
      <c r="B4" t="s">
        <v>44</v>
      </c>
    </row>
    <row r="5" spans="1:2" x14ac:dyDescent="0.25">
      <c r="A5" t="s">
        <v>66</v>
      </c>
      <c r="B5">
        <v>50000</v>
      </c>
    </row>
    <row r="6" spans="1:2" x14ac:dyDescent="0.25">
      <c r="A6" t="s">
        <v>20</v>
      </c>
      <c r="B6">
        <v>20000</v>
      </c>
    </row>
    <row r="7" spans="1:2" x14ac:dyDescent="0.25">
      <c r="A7" t="s">
        <v>67</v>
      </c>
      <c r="B7">
        <v>-15000</v>
      </c>
    </row>
    <row r="8" spans="1:2" x14ac:dyDescent="0.25">
      <c r="A8" t="s">
        <v>68</v>
      </c>
      <c r="B8">
        <v>-5000</v>
      </c>
    </row>
    <row r="9" spans="1:2" x14ac:dyDescent="0.25">
      <c r="A9" t="s">
        <v>69</v>
      </c>
      <c r="B9">
        <v>50000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70</v>
      </c>
    </row>
    <row r="4" spans="1:2" x14ac:dyDescent="0.25">
      <c r="A4" t="s">
        <v>65</v>
      </c>
      <c r="B4" t="s">
        <v>71</v>
      </c>
    </row>
    <row r="5" spans="1:2" x14ac:dyDescent="0.25">
      <c r="A5" t="s">
        <v>72</v>
      </c>
      <c r="B5">
        <v>1000</v>
      </c>
    </row>
    <row r="6" spans="1:2" x14ac:dyDescent="0.25">
      <c r="A6" t="s">
        <v>73</v>
      </c>
      <c r="B6">
        <v>600</v>
      </c>
    </row>
    <row r="7" spans="1:2" x14ac:dyDescent="0.25">
      <c r="A7" t="s">
        <v>74</v>
      </c>
      <c r="B7">
        <v>300</v>
      </c>
    </row>
    <row r="8" spans="1:2" x14ac:dyDescent="0.25">
      <c r="A8" t="s">
        <v>20</v>
      </c>
      <c r="B8">
        <v>120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75</v>
      </c>
    </row>
    <row r="4" spans="1:5" x14ac:dyDescent="0.25">
      <c r="A4" t="s">
        <v>76</v>
      </c>
      <c r="B4" t="s">
        <v>77</v>
      </c>
      <c r="C4" t="s">
        <v>78</v>
      </c>
      <c r="D4" t="s">
        <v>79</v>
      </c>
      <c r="E4" t="s">
        <v>80</v>
      </c>
    </row>
    <row r="5" spans="1:5" x14ac:dyDescent="0.25">
      <c r="A5" t="s">
        <v>81</v>
      </c>
      <c r="B5">
        <v>100</v>
      </c>
      <c r="C5">
        <v>110</v>
      </c>
      <c r="D5">
        <v>95</v>
      </c>
      <c r="E5">
        <v>105</v>
      </c>
    </row>
    <row r="6" spans="1:5" x14ac:dyDescent="0.25">
      <c r="A6" t="s">
        <v>82</v>
      </c>
      <c r="B6">
        <v>105</v>
      </c>
      <c r="C6">
        <v>115</v>
      </c>
      <c r="D6">
        <v>100</v>
      </c>
      <c r="E6">
        <v>110</v>
      </c>
    </row>
    <row r="7" spans="1:5" x14ac:dyDescent="0.25">
      <c r="A7" t="s">
        <v>83</v>
      </c>
      <c r="B7">
        <v>110</v>
      </c>
      <c r="C7">
        <v>120</v>
      </c>
      <c r="D7">
        <v>108</v>
      </c>
      <c r="E7">
        <v>118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"/>
  <sheetViews>
    <sheetView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84</v>
      </c>
    </row>
    <row r="4" spans="1:3" x14ac:dyDescent="0.25">
      <c r="A4" t="s">
        <v>85</v>
      </c>
      <c r="B4" t="s">
        <v>86</v>
      </c>
      <c r="C4" t="s">
        <v>87</v>
      </c>
    </row>
    <row r="5" spans="1:3" x14ac:dyDescent="0.25">
      <c r="A5">
        <v>1</v>
      </c>
      <c r="B5">
        <v>1</v>
      </c>
      <c r="C5">
        <v>10</v>
      </c>
    </row>
    <row r="6" spans="1:3" x14ac:dyDescent="0.25">
      <c r="A6">
        <v>1</v>
      </c>
      <c r="B6">
        <v>2</v>
      </c>
      <c r="C6">
        <v>20</v>
      </c>
    </row>
    <row r="7" spans="1:3" x14ac:dyDescent="0.25">
      <c r="A7">
        <v>2</v>
      </c>
      <c r="B7">
        <v>1</v>
      </c>
      <c r="C7">
        <v>30</v>
      </c>
    </row>
    <row r="8" spans="1:3" x14ac:dyDescent="0.25">
      <c r="A8">
        <v>2</v>
      </c>
      <c r="B8">
        <v>2</v>
      </c>
      <c r="C8">
        <v>40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8"/>
  <sheetViews>
    <sheetView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88</v>
      </c>
    </row>
    <row r="4" spans="1:3" x14ac:dyDescent="0.25">
      <c r="A4" t="s">
        <v>89</v>
      </c>
      <c r="B4" t="s">
        <v>90</v>
      </c>
      <c r="C4" t="s">
        <v>91</v>
      </c>
    </row>
    <row r="5" spans="1:3" x14ac:dyDescent="0.25">
      <c r="A5" t="s">
        <v>92</v>
      </c>
      <c r="B5">
        <v>85</v>
      </c>
      <c r="C5">
        <v>78</v>
      </c>
    </row>
    <row r="6" spans="1:3" x14ac:dyDescent="0.25">
      <c r="A6" t="s">
        <v>93</v>
      </c>
      <c r="B6">
        <v>90</v>
      </c>
      <c r="C6">
        <v>82</v>
      </c>
    </row>
    <row r="7" spans="1:3" x14ac:dyDescent="0.25">
      <c r="A7" t="s">
        <v>94</v>
      </c>
      <c r="B7">
        <v>75</v>
      </c>
      <c r="C7">
        <v>88</v>
      </c>
    </row>
    <row r="8" spans="1:3" x14ac:dyDescent="0.25">
      <c r="A8" t="s">
        <v>95</v>
      </c>
      <c r="B8">
        <v>95</v>
      </c>
      <c r="C8">
        <v>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8"/>
  <sheetViews>
    <sheetView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96</v>
      </c>
    </row>
    <row r="4" spans="1:3" x14ac:dyDescent="0.25">
      <c r="A4" t="s">
        <v>2</v>
      </c>
      <c r="B4" t="s">
        <v>20</v>
      </c>
      <c r="C4" t="s">
        <v>59</v>
      </c>
    </row>
    <row r="5" spans="1:3" x14ac:dyDescent="0.25">
      <c r="A5" t="s">
        <v>5</v>
      </c>
      <c r="B5">
        <v>50000</v>
      </c>
      <c r="C5">
        <v>8000</v>
      </c>
    </row>
    <row r="6" spans="1:3" x14ac:dyDescent="0.25">
      <c r="A6" t="s">
        <v>6</v>
      </c>
      <c r="B6">
        <v>60000</v>
      </c>
      <c r="C6">
        <v>10000</v>
      </c>
    </row>
    <row r="7" spans="1:3" x14ac:dyDescent="0.25">
      <c r="A7" t="s">
        <v>7</v>
      </c>
      <c r="B7">
        <v>75000</v>
      </c>
      <c r="C7">
        <v>15000</v>
      </c>
    </row>
    <row r="8" spans="1:3" x14ac:dyDescent="0.25">
      <c r="A8" t="s">
        <v>8</v>
      </c>
      <c r="B8">
        <v>90000</v>
      </c>
      <c r="C8">
        <v>18000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"/>
  <sheetViews>
    <sheetView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97</v>
      </c>
    </row>
    <row r="4" spans="1:2" x14ac:dyDescent="0.25">
      <c r="A4" t="s">
        <v>98</v>
      </c>
      <c r="B4" t="s">
        <v>20</v>
      </c>
    </row>
    <row r="5" spans="1:2" x14ac:dyDescent="0.25">
      <c r="A5" t="s">
        <v>46</v>
      </c>
      <c r="B5">
        <v>50000</v>
      </c>
    </row>
    <row r="6" spans="1:2" x14ac:dyDescent="0.25">
      <c r="A6" t="s">
        <v>99</v>
      </c>
      <c r="B6">
        <v>80000</v>
      </c>
    </row>
    <row r="7" spans="1:2" x14ac:dyDescent="0.25">
      <c r="A7" t="s">
        <v>100</v>
      </c>
      <c r="B7">
        <v>40000</v>
      </c>
    </row>
    <row r="8" spans="1:2" x14ac:dyDescent="0.25">
      <c r="A8" t="s">
        <v>49</v>
      </c>
      <c r="B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Clustered Column</vt:lpstr>
      <vt:lpstr>Stacked Column</vt:lpstr>
      <vt:lpstr>Line</vt:lpstr>
      <vt:lpstr>Area</vt:lpstr>
      <vt:lpstr>Bar</vt:lpstr>
      <vt:lpstr>Pie</vt:lpstr>
      <vt:lpstr>Doughnut</vt:lpstr>
      <vt:lpstr>Treemap</vt:lpstr>
      <vt:lpstr>Histogram</vt:lpstr>
      <vt:lpstr>Sunburst</vt:lpstr>
      <vt:lpstr>Pareto Chart 1</vt:lpstr>
      <vt:lpstr>Thermometer</vt:lpstr>
      <vt:lpstr>3D Clyinder</vt:lpstr>
      <vt:lpstr>Pie Infographic</vt:lpstr>
      <vt:lpstr>Pareto</vt:lpstr>
      <vt:lpstr>Bubble</vt:lpstr>
      <vt:lpstr>Waterfall</vt:lpstr>
      <vt:lpstr>Funnel</vt:lpstr>
      <vt:lpstr>Stock</vt:lpstr>
      <vt:lpstr>Surface</vt:lpstr>
      <vt:lpstr>Radar</vt:lpstr>
      <vt:lpstr>Combo</vt:lpstr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2026-01-06T02:01:11Z</dcterms:created>
  <dcterms:modified xsi:type="dcterms:W3CDTF">2026-01-08T05:17:50Z</dcterms:modified>
</cp:coreProperties>
</file>