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4C35E6B4-EBBB-4C00-BD01-7C29BE379C5F}" xr6:coauthVersionLast="36" xr6:coauthVersionMax="36" xr10:uidLastSave="{00000000-0000-0000-0000-000000000000}"/>
  <bookViews>
    <workbookView xWindow="0" yWindow="0" windowWidth="24000" windowHeight="8910" xr2:uid="{00000000-000D-0000-FFFF-FFFF00000000}"/>
  </bookViews>
  <sheets>
    <sheet name="Employees" sheetId="1" r:id="rId1"/>
  </sheets>
  <definedNames>
    <definedName name="_xlnm._FilterDatabase" localSheetId="0" hidden="1">Employees!$A$1:$M$101</definedName>
    <definedName name="_xlcn.WorksheetConnection_Employees.xlsxTable21" hidden="1">Table2</definedName>
    <definedName name="_xlcn.WorksheetConnection_Employees.xlsxTable31" hidden="1">Table3</definedName>
    <definedName name="_xlcn.WorksheetConnection_EmployeesCC1" hidden="1">Employees!$C:$C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Table3" name="Table3" connection="WorksheetConnection_Employees.xlsx!Table3"/>
          <x15:modelTable id="Table2" name="Table2" connection="WorksheetConnection_Employees.xlsx!Table2"/>
          <x15:modelTable id="Range" name="Range" connection="WorksheetConnection_Employees!$C:$C"/>
        </x15:modelTables>
      </x15:dataModel>
    </ext>
  </extLst>
</workbook>
</file>

<file path=xl/calcChain.xml><?xml version="1.0" encoding="utf-8"?>
<calcChain xmlns="http://schemas.openxmlformats.org/spreadsheetml/2006/main">
  <c r="E2" i="1" l="1"/>
  <c r="F2" i="1"/>
  <c r="E3" i="1"/>
  <c r="F3" i="1"/>
  <c r="E4" i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2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66325B-9A3B-4F92-8FF4-467722C11D77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BD13DF8-6432-4E0E-AE2A-66F3476006E7}" name="WorksheetConnection_Employees!$C:$C" type="102" refreshedVersion="6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EmployeesCC1"/>
        </x15:connection>
      </ext>
    </extLst>
  </connection>
  <connection id="3" xr16:uid="{459A47A2-ECE0-4B63-A4FA-168C7F1C7004}" name="WorksheetConnection_Employees.xlsx!Table2" type="102" refreshedVersion="6" minRefreshableVersion="5">
    <extLst>
      <ext xmlns:x15="http://schemas.microsoft.com/office/spreadsheetml/2010/11/main" uri="{DE250136-89BD-433C-8126-D09CA5730AF9}">
        <x15:connection id="Table2">
          <x15:rangePr sourceName="_xlcn.WorksheetConnection_Employees.xlsxTable21"/>
        </x15:connection>
      </ext>
    </extLst>
  </connection>
  <connection id="4" xr16:uid="{D890DC4B-A9A2-4919-9320-2CC8DEDFB8B8}" name="WorksheetConnection_Employees.xlsx!Table3" type="102" refreshedVersion="6" minRefreshableVersion="5">
    <extLst>
      <ext xmlns:x15="http://schemas.microsoft.com/office/spreadsheetml/2010/11/main" uri="{DE250136-89BD-433C-8126-D09CA5730AF9}">
        <x15:connection id="Table3">
          <x15:rangePr sourceName="_xlcn.WorksheetConnection_Employees.xlsxTable31"/>
        </x15:connection>
      </ext>
    </extLst>
  </connection>
</connections>
</file>

<file path=xl/sharedStrings.xml><?xml version="1.0" encoding="utf-8"?>
<sst xmlns="http://schemas.openxmlformats.org/spreadsheetml/2006/main" count="713" uniqueCount="423">
  <si>
    <t>E001</t>
  </si>
  <si>
    <t>Amit Sharma</t>
  </si>
  <si>
    <t>Male</t>
  </si>
  <si>
    <t>B.Tech</t>
  </si>
  <si>
    <t>Python;SQL</t>
  </si>
  <si>
    <t>Software Engineer</t>
  </si>
  <si>
    <t>Pune</t>
  </si>
  <si>
    <t>E002</t>
  </si>
  <si>
    <t>Neha Patil</t>
  </si>
  <si>
    <t>Female</t>
  </si>
  <si>
    <t>B.Sc IT</t>
  </si>
  <si>
    <t>Excel;Power BI</t>
  </si>
  <si>
    <t>Data Analyst</t>
  </si>
  <si>
    <t>Mumbai</t>
  </si>
  <si>
    <t>E003</t>
  </si>
  <si>
    <t>Rahul Deshmukh</t>
  </si>
  <si>
    <t>MBA</t>
  </si>
  <si>
    <t>Management;Leadership</t>
  </si>
  <si>
    <t>Project Manager</t>
  </si>
  <si>
    <t>Nagpur</t>
  </si>
  <si>
    <t>E004</t>
  </si>
  <si>
    <t>Priya Kulkarni</t>
  </si>
  <si>
    <t>BCA</t>
  </si>
  <si>
    <t>HTML;CSS</t>
  </si>
  <si>
    <t>Web Developer</t>
  </si>
  <si>
    <t>Nashik</t>
  </si>
  <si>
    <t>E005</t>
  </si>
  <si>
    <t>Sameer Khan</t>
  </si>
  <si>
    <t>Java;Spring</t>
  </si>
  <si>
    <t>Backend Developer</t>
  </si>
  <si>
    <t>E006</t>
  </si>
  <si>
    <t>Pooja Joshi</t>
  </si>
  <si>
    <t>M.Com</t>
  </si>
  <si>
    <t>Tally;GST</t>
  </si>
  <si>
    <t>Accountant</t>
  </si>
  <si>
    <t>E007</t>
  </si>
  <si>
    <t>Sachin Pawar</t>
  </si>
  <si>
    <t>MCA</t>
  </si>
  <si>
    <t>Networking;Linux</t>
  </si>
  <si>
    <t>System Admin</t>
  </si>
  <si>
    <t>Aurangabad</t>
  </si>
  <si>
    <t>E008</t>
  </si>
  <si>
    <t>Anita More</t>
  </si>
  <si>
    <t>BBA</t>
  </si>
  <si>
    <t>HR Operations</t>
  </si>
  <si>
    <t>HR Executive</t>
  </si>
  <si>
    <t>Thane</t>
  </si>
  <si>
    <t>E009</t>
  </si>
  <si>
    <t>Rohit Jadhav</t>
  </si>
  <si>
    <t>Testing;Automation</t>
  </si>
  <si>
    <t>QA Engineer</t>
  </si>
  <si>
    <t>E010</t>
  </si>
  <si>
    <t>Sunita Kale</t>
  </si>
  <si>
    <t>M.Sc</t>
  </si>
  <si>
    <t>Statistics;R</t>
  </si>
  <si>
    <t>E011</t>
  </si>
  <si>
    <t>Akash Shinde</t>
  </si>
  <si>
    <t>B.E</t>
  </si>
  <si>
    <t>C++;Embedded</t>
  </si>
  <si>
    <t>Embedded Engineer</t>
  </si>
  <si>
    <t>E012</t>
  </si>
  <si>
    <t>Meenal Gawade</t>
  </si>
  <si>
    <t>B.Com</t>
  </si>
  <si>
    <t>MS Excel</t>
  </si>
  <si>
    <t>Office Executive</t>
  </si>
  <si>
    <t>E013</t>
  </si>
  <si>
    <t>Imran Shaikh</t>
  </si>
  <si>
    <t>Sales Strategy</t>
  </si>
  <si>
    <t>Sales Manager</t>
  </si>
  <si>
    <t>E014</t>
  </si>
  <si>
    <t>Sneha Patole</t>
  </si>
  <si>
    <t>UI/UX;Figma</t>
  </si>
  <si>
    <t>UI Designer</t>
  </si>
  <si>
    <t>E015</t>
  </si>
  <si>
    <t>Vikas Yadav</t>
  </si>
  <si>
    <t>M.Tech</t>
  </si>
  <si>
    <t>Machine Learning</t>
  </si>
  <si>
    <t>ML Engineer</t>
  </si>
  <si>
    <t>Bengaluru</t>
  </si>
  <si>
    <t>E016</t>
  </si>
  <si>
    <t>Kavita Nair</t>
  </si>
  <si>
    <t>Recruitment</t>
  </si>
  <si>
    <t>HR Manager</t>
  </si>
  <si>
    <t>E017</t>
  </si>
  <si>
    <t>Ajay More</t>
  </si>
  <si>
    <t>PHP;MySQL</t>
  </si>
  <si>
    <t>E018</t>
  </si>
  <si>
    <t>Farheen Ansari</t>
  </si>
  <si>
    <t>B.Sc CS</t>
  </si>
  <si>
    <t>Python;Pandas</t>
  </si>
  <si>
    <t>E019</t>
  </si>
  <si>
    <t>Nitin Chavan</t>
  </si>
  <si>
    <t>DevOps;AWS</t>
  </si>
  <si>
    <t>DevOps Engineer</t>
  </si>
  <si>
    <t>E020</t>
  </si>
  <si>
    <t>Shital Patil</t>
  </si>
  <si>
    <t>Auditing</t>
  </si>
  <si>
    <t>Finance Executive</t>
  </si>
  <si>
    <t>E021</t>
  </si>
  <si>
    <t>Kunal Mehta</t>
  </si>
  <si>
    <t>React;JS</t>
  </si>
  <si>
    <t>Frontend Developer</t>
  </si>
  <si>
    <t>E022</t>
  </si>
  <si>
    <t>Ritu Malhotra</t>
  </si>
  <si>
    <t>B.A</t>
  </si>
  <si>
    <t>Content Writing</t>
  </si>
  <si>
    <t>Content Writer</t>
  </si>
  <si>
    <t>E023</t>
  </si>
  <si>
    <t>Sandeep Borse</t>
  </si>
  <si>
    <t>Operations</t>
  </si>
  <si>
    <t>Operations Manager</t>
  </si>
  <si>
    <t>E024</t>
  </si>
  <si>
    <t>Vaishali Desai</t>
  </si>
  <si>
    <t>Manual Testing</t>
  </si>
  <si>
    <t>QA Analyst</t>
  </si>
  <si>
    <t>E025</t>
  </si>
  <si>
    <t>Arjun Verma</t>
  </si>
  <si>
    <t>Node.js;MongoDB</t>
  </si>
  <si>
    <t>E026</t>
  </si>
  <si>
    <t>Komal Sawant</t>
  </si>
  <si>
    <t>Customer Support</t>
  </si>
  <si>
    <t>Support Executive</t>
  </si>
  <si>
    <t>E027</t>
  </si>
  <si>
    <t>Deepak Patil</t>
  </si>
  <si>
    <t>Cloud Architecture</t>
  </si>
  <si>
    <t>Cloud Engineer</t>
  </si>
  <si>
    <t>E028</t>
  </si>
  <si>
    <t>Reshma Shaikh</t>
  </si>
  <si>
    <t>M.Sc IT</t>
  </si>
  <si>
    <t>Data Visualization</t>
  </si>
  <si>
    <t>BI Analyst</t>
  </si>
  <si>
    <t>E029</t>
  </si>
  <si>
    <t>Manoj Kulkarni</t>
  </si>
  <si>
    <t>Business Strategy</t>
  </si>
  <si>
    <t>Business Analyst</t>
  </si>
  <si>
    <t>E030</t>
  </si>
  <si>
    <t>Payal Jain</t>
  </si>
  <si>
    <t>Accounts Payable</t>
  </si>
  <si>
    <t>Accounts Executive</t>
  </si>
  <si>
    <t>E031</t>
  </si>
  <si>
    <t>Suresh Raut</t>
  </si>
  <si>
    <t>AutoCAD;Design</t>
  </si>
  <si>
    <t>Design Engineer</t>
  </si>
  <si>
    <t>E032</t>
  </si>
  <si>
    <t>Nikita Bhosale</t>
  </si>
  <si>
    <t>SEO;Marketing</t>
  </si>
  <si>
    <t>Digital Marketer</t>
  </si>
  <si>
    <t>E033</t>
  </si>
  <si>
    <t>Harsh Vardhan</t>
  </si>
  <si>
    <t>Android;Kotlin</t>
  </si>
  <si>
    <t>Mobile App Developer</t>
  </si>
  <si>
    <t>E034</t>
  </si>
  <si>
    <t>Ayesha Khan</t>
  </si>
  <si>
    <t>Social Media</t>
  </si>
  <si>
    <t>Marketing Executive</t>
  </si>
  <si>
    <t>E035</t>
  </si>
  <si>
    <t>Pravin Shinde</t>
  </si>
  <si>
    <t>Database;PLSQL</t>
  </si>
  <si>
    <t>Database Admin</t>
  </si>
  <si>
    <t>E036</t>
  </si>
  <si>
    <t>Sonali Jagtap</t>
  </si>
  <si>
    <t>B.Sc</t>
  </si>
  <si>
    <t>Lab Analysis</t>
  </si>
  <si>
    <t>Research Assistant</t>
  </si>
  <si>
    <t>E037</t>
  </si>
  <si>
    <t>Rakesh Gupta</t>
  </si>
  <si>
    <t>AI;Deep Learning</t>
  </si>
  <si>
    <t>AI Engineer</t>
  </si>
  <si>
    <t>E038</t>
  </si>
  <si>
    <t>Pallavi Naik</t>
  </si>
  <si>
    <t>Client Handling</t>
  </si>
  <si>
    <t>Relationship Manager</t>
  </si>
  <si>
    <t>E039</t>
  </si>
  <si>
    <t>Anil Mishra</t>
  </si>
  <si>
    <t>Network Security</t>
  </si>
  <si>
    <t>Security Analyst</t>
  </si>
  <si>
    <t>E040</t>
  </si>
  <si>
    <t>Shreya Kulkarni</t>
  </si>
  <si>
    <t>B.Des</t>
  </si>
  <si>
    <t>Graphic Design</t>
  </si>
  <si>
    <t>Graphic Designer</t>
  </si>
  <si>
    <t>E041</t>
  </si>
  <si>
    <t>Rahul Kothari</t>
  </si>
  <si>
    <t>Python;Django</t>
  </si>
  <si>
    <t>Software Developer</t>
  </si>
  <si>
    <t>E042</t>
  </si>
  <si>
    <t>Simran Kaur</t>
  </si>
  <si>
    <t>QA Tester</t>
  </si>
  <si>
    <t>E043</t>
  </si>
  <si>
    <t>Mahesh Gaikwad</t>
  </si>
  <si>
    <t>Oracle;SQL</t>
  </si>
  <si>
    <t>Database Developer</t>
  </si>
  <si>
    <t>E044</t>
  </si>
  <si>
    <t>Farzana Begum</t>
  </si>
  <si>
    <t>HR Analytics</t>
  </si>
  <si>
    <t>HR Analyst</t>
  </si>
  <si>
    <t>E045</t>
  </si>
  <si>
    <t>Abhishek Verma</t>
  </si>
  <si>
    <t>Angular;JS</t>
  </si>
  <si>
    <t>E046</t>
  </si>
  <si>
    <t>Rituparna Sen</t>
  </si>
  <si>
    <t>Python;NumPy</t>
  </si>
  <si>
    <t>Data Scientist</t>
  </si>
  <si>
    <t>E047</t>
  </si>
  <si>
    <t>Santosh Patil</t>
  </si>
  <si>
    <t>Power Systems</t>
  </si>
  <si>
    <t>Electrical Engineer</t>
  </si>
  <si>
    <t>E048</t>
  </si>
  <si>
    <t>Prachi Deshpande</t>
  </si>
  <si>
    <t>Banking Operations</t>
  </si>
  <si>
    <t>Banking Executive</t>
  </si>
  <si>
    <t>E049</t>
  </si>
  <si>
    <t>Arif Shaikh</t>
  </si>
  <si>
    <t>Linux;Shell</t>
  </si>
  <si>
    <t>SRE Engineer</t>
  </si>
  <si>
    <t>E050</t>
  </si>
  <si>
    <t>Monika Rane</t>
  </si>
  <si>
    <t>Customer Relations</t>
  </si>
  <si>
    <t>CRM Executive</t>
  </si>
  <si>
    <t>E051</t>
  </si>
  <si>
    <t>Sunil Malve</t>
  </si>
  <si>
    <t>Supply Chain</t>
  </si>
  <si>
    <t>Logistics Manager</t>
  </si>
  <si>
    <t>E052</t>
  </si>
  <si>
    <t>Neelam Joshi</t>
  </si>
  <si>
    <t>Software Testing</t>
  </si>
  <si>
    <t>Test Lead</t>
  </si>
  <si>
    <t>E053</t>
  </si>
  <si>
    <t>Prakash Nair</t>
  </si>
  <si>
    <t>Cloud Security</t>
  </si>
  <si>
    <t>Security Architect</t>
  </si>
  <si>
    <t>E054</t>
  </si>
  <si>
    <t>Saloni Mehta</t>
  </si>
  <si>
    <t>Illustrator;Photoshop</t>
  </si>
  <si>
    <t>Visual Designer</t>
  </si>
  <si>
    <t>E055</t>
  </si>
  <si>
    <t>Vinod Tiwari</t>
  </si>
  <si>
    <t>Industrial Automation</t>
  </si>
  <si>
    <t>Automation Engineer</t>
  </si>
  <si>
    <t>E056</t>
  </si>
  <si>
    <t>Anushka Kulkarni</t>
  </si>
  <si>
    <t>Excel;MIS</t>
  </si>
  <si>
    <t>MIS Executive</t>
  </si>
  <si>
    <t>E057</t>
  </si>
  <si>
    <t>Mukesh Yadav</t>
  </si>
  <si>
    <t>REST API</t>
  </si>
  <si>
    <t>Integration Engineer</t>
  </si>
  <si>
    <t>E058</t>
  </si>
  <si>
    <t>Saba Khan</t>
  </si>
  <si>
    <t>Brand Strategy</t>
  </si>
  <si>
    <t>Brand Manager</t>
  </si>
  <si>
    <t>E059</t>
  </si>
  <si>
    <t>Harshal Patwardhan</t>
  </si>
  <si>
    <t>Big Data;Spark</t>
  </si>
  <si>
    <t>Big Data Engineer</t>
  </si>
  <si>
    <t>E060</t>
  </si>
  <si>
    <t>Priyanka Salve</t>
  </si>
  <si>
    <t>Cost Accounting</t>
  </si>
  <si>
    <t>Cost Accountant</t>
  </si>
  <si>
    <t>E061</t>
  </si>
  <si>
    <t>Naveen Kumar</t>
  </si>
  <si>
    <t>IoT;Sensors</t>
  </si>
  <si>
    <t>IoT Engineer</t>
  </si>
  <si>
    <t>E062</t>
  </si>
  <si>
    <t>Megha Agrawal</t>
  </si>
  <si>
    <t>Market Research</t>
  </si>
  <si>
    <t>Research Analyst</t>
  </si>
  <si>
    <t>E063</t>
  </si>
  <si>
    <t>Rajesh Soni</t>
  </si>
  <si>
    <t>Corporate Sales</t>
  </si>
  <si>
    <t>Key Account Manager</t>
  </si>
  <si>
    <t>E064</t>
  </si>
  <si>
    <t>Divya Iyer</t>
  </si>
  <si>
    <t>M.Sc CS</t>
  </si>
  <si>
    <t>Data Cleaning</t>
  </si>
  <si>
    <t>Data Engineer</t>
  </si>
  <si>
    <t>E065</t>
  </si>
  <si>
    <t>Suresh Bansal</t>
  </si>
  <si>
    <t>Enterprise Architecture</t>
  </si>
  <si>
    <t>IT Architect</t>
  </si>
  <si>
    <t>E066</t>
  </si>
  <si>
    <t>Komal Jain</t>
  </si>
  <si>
    <t>Invoice Processing</t>
  </si>
  <si>
    <t>Billing Executive</t>
  </si>
  <si>
    <t>E067</t>
  </si>
  <si>
    <t>Ashwin Kulkarni</t>
  </si>
  <si>
    <t>PLC;SCADA</t>
  </si>
  <si>
    <t>Control Engineer</t>
  </si>
  <si>
    <t>E068</t>
  </si>
  <si>
    <t>Zoya Pathan</t>
  </si>
  <si>
    <t>UI Testing</t>
  </si>
  <si>
    <t>E069</t>
  </si>
  <si>
    <t>Rohit Malhotra</t>
  </si>
  <si>
    <t>Financial Planning</t>
  </si>
  <si>
    <t>Finance Manager</t>
  </si>
  <si>
    <t>E070</t>
  </si>
  <si>
    <t>Poonam Pawar</t>
  </si>
  <si>
    <t>Quality Control</t>
  </si>
  <si>
    <t>QC Analyst</t>
  </si>
  <si>
    <t>E071</t>
  </si>
  <si>
    <t>Aditya Kulkarni</t>
  </si>
  <si>
    <t>React Native</t>
  </si>
  <si>
    <t>Mobile Developer</t>
  </si>
  <si>
    <t>E072</t>
  </si>
  <si>
    <t>Nusrat Ali</t>
  </si>
  <si>
    <t>Documentation</t>
  </si>
  <si>
    <t>Technical Writer</t>
  </si>
  <si>
    <t>E073</t>
  </si>
  <si>
    <t>Kiran Jadhav</t>
  </si>
  <si>
    <t>AI Ops</t>
  </si>
  <si>
    <t>MLOps Engineer</t>
  </si>
  <si>
    <t>E074</t>
  </si>
  <si>
    <t>Sheetal Kapse</t>
  </si>
  <si>
    <t>Customer Success</t>
  </si>
  <si>
    <t>Customer Success Manager</t>
  </si>
  <si>
    <t>E075</t>
  </si>
  <si>
    <t>Rajiv Menon</t>
  </si>
  <si>
    <t>ETL;Informatica</t>
  </si>
  <si>
    <t>ETL Developer</t>
  </si>
  <si>
    <t>E076</t>
  </si>
  <si>
    <t>Sayali Patil</t>
  </si>
  <si>
    <t>Business Reporting</t>
  </si>
  <si>
    <t>Reporting Analyst</t>
  </si>
  <si>
    <t>E077</t>
  </si>
  <si>
    <t>Pankaj Tripathi</t>
  </si>
  <si>
    <t>Process Improvement</t>
  </si>
  <si>
    <t>Quality Manager</t>
  </si>
  <si>
    <t>E078</t>
  </si>
  <si>
    <t>Alisha Dsouza</t>
  </si>
  <si>
    <t>UX Research</t>
  </si>
  <si>
    <t>UX Researcher</t>
  </si>
  <si>
    <t>E079</t>
  </si>
  <si>
    <t>Deepesh Arora</t>
  </si>
  <si>
    <t>E080</t>
  </si>
  <si>
    <t>Rupal Shah</t>
  </si>
  <si>
    <t>Tax Compliance</t>
  </si>
  <si>
    <t>Tax Consultant</t>
  </si>
  <si>
    <t>E081</t>
  </si>
  <si>
    <t>Ajinkya Bendre</t>
  </si>
  <si>
    <t>Mechanical Design</t>
  </si>
  <si>
    <t>Mechanical Engineer</t>
  </si>
  <si>
    <t>E082</t>
  </si>
  <si>
    <t>Hina Qureshi</t>
  </si>
  <si>
    <t>Java Basics</t>
  </si>
  <si>
    <t>Junior Developer</t>
  </si>
  <si>
    <t>E083</t>
  </si>
  <si>
    <t>Vishal Rana</t>
  </si>
  <si>
    <t>Middleware;WebLogic</t>
  </si>
  <si>
    <t>Middleware Engineer</t>
  </si>
  <si>
    <t>E084</t>
  </si>
  <si>
    <t>Pallavi Ghosh</t>
  </si>
  <si>
    <t>E085</t>
  </si>
  <si>
    <t>Naresh Solanki</t>
  </si>
  <si>
    <t>Robotics</t>
  </si>
  <si>
    <t>Robotics Engineer</t>
  </si>
  <si>
    <t>E086</t>
  </si>
  <si>
    <t>Riya Malviya</t>
  </si>
  <si>
    <t>Admin Support</t>
  </si>
  <si>
    <t>Admin Executive</t>
  </si>
  <si>
    <t>E087</t>
  </si>
  <si>
    <t>Prashant Kulkarni</t>
  </si>
  <si>
    <t>Strategic Planning</t>
  </si>
  <si>
    <t>Strategy Consultant</t>
  </si>
  <si>
    <t>E088</t>
  </si>
  <si>
    <t>Sharmila Das</t>
  </si>
  <si>
    <t>E089</t>
  </si>
  <si>
    <t>Arvind Shetty</t>
  </si>
  <si>
    <t>Payment Systems</t>
  </si>
  <si>
    <t>FinTech Engineer</t>
  </si>
  <si>
    <t>E090</t>
  </si>
  <si>
    <t>Sakshi Gawande</t>
  </si>
  <si>
    <t>Data Entry</t>
  </si>
  <si>
    <t>Data Operator</t>
  </si>
  <si>
    <t>E091</t>
  </si>
  <si>
    <t>Nilesh Pawar</t>
  </si>
  <si>
    <t>Lean Manufacturing</t>
  </si>
  <si>
    <t>Production Engineer</t>
  </si>
  <si>
    <t>E092</t>
  </si>
  <si>
    <t>Mahira Siddiqui</t>
  </si>
  <si>
    <t>Public Relations</t>
  </si>
  <si>
    <t>PR Executive</t>
  </si>
  <si>
    <t>E093</t>
  </si>
  <si>
    <t>Shubham Kulkarni</t>
  </si>
  <si>
    <t>Terraform;AWS</t>
  </si>
  <si>
    <t>E094</t>
  </si>
  <si>
    <t>Priyanka Roy</t>
  </si>
  <si>
    <t>Vendor Management</t>
  </si>
  <si>
    <t>Procurement Officer</t>
  </si>
  <si>
    <t>E095</t>
  </si>
  <si>
    <t>Rajesh Iyer</t>
  </si>
  <si>
    <t>E096</t>
  </si>
  <si>
    <t>Aditi Deshmukh</t>
  </si>
  <si>
    <t>Front Office</t>
  </si>
  <si>
    <t>Operations Executive</t>
  </si>
  <si>
    <t>E097</t>
  </si>
  <si>
    <t>Sachin Naik</t>
  </si>
  <si>
    <t>Elastic Stack</t>
  </si>
  <si>
    <t>Monitoring Engineer</t>
  </si>
  <si>
    <t>E098</t>
  </si>
  <si>
    <t>Nazneen Pathan</t>
  </si>
  <si>
    <t>Payroll Processing</t>
  </si>
  <si>
    <t>Payroll Manager</t>
  </si>
  <si>
    <t>E099</t>
  </si>
  <si>
    <t>Harish Choudhary</t>
  </si>
  <si>
    <t>Channel Sales</t>
  </si>
  <si>
    <t>Regional Sales Head</t>
  </si>
  <si>
    <t>E100</t>
  </si>
  <si>
    <t>Tejaswini Kulkarni</t>
  </si>
  <si>
    <t>Data Labeling</t>
  </si>
  <si>
    <t>AI Trainee</t>
  </si>
  <si>
    <t>Eid</t>
  </si>
  <si>
    <t>Ename</t>
  </si>
  <si>
    <t>Gender</t>
  </si>
  <si>
    <t>Dob</t>
  </si>
  <si>
    <t>Basic_pay</t>
  </si>
  <si>
    <t>Education</t>
  </si>
  <si>
    <t>Experience_years</t>
  </si>
  <si>
    <t>Skills</t>
  </si>
  <si>
    <t>Job_role</t>
  </si>
  <si>
    <t>City</t>
  </si>
  <si>
    <t>Year</t>
  </si>
  <si>
    <t>Age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</si>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</sst>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tabSelected="1" topLeftCell="A58" zoomScale="80" zoomScaleNormal="80" workbookViewId="0">
      <selection activeCell="K77" sqref="K77"/>
    </sheetView>
  </sheetViews>
  <sheetFormatPr defaultRowHeight="15" x14ac:dyDescent="0.25"/>
  <cols>
    <col min="2" max="2" width="18.85546875" bestFit="1" customWidth="1"/>
    <col min="4" max="4" width="13.5703125" customWidth="1"/>
    <col min="5" max="6" width="10.42578125" customWidth="1"/>
    <col min="7" max="8" width="11.28515625" customWidth="1"/>
    <col min="9" max="9" width="10.85546875" customWidth="1"/>
    <col min="10" max="10" width="10.5703125" customWidth="1"/>
    <col min="11" max="11" width="23.42578125" bestFit="1" customWidth="1"/>
    <col min="12" max="12" width="28.140625" bestFit="1" customWidth="1"/>
    <col min="13" max="13" width="11.5703125" bestFit="1" customWidth="1"/>
  </cols>
  <sheetData>
    <row r="1" spans="1:13" x14ac:dyDescent="0.25">
      <c r="A1" t="s">
        <v>410</v>
      </c>
      <c r="B1" t="s">
        <v>411</v>
      </c>
      <c r="C1" t="s">
        <v>412</v>
      </c>
      <c r="D1" t="s">
        <v>413</v>
      </c>
      <c r="E1" t="s">
        <v>420</v>
      </c>
      <c r="F1" t="s">
        <v>421</v>
      </c>
      <c r="G1" t="s">
        <v>414</v>
      </c>
      <c r="H1" t="s">
        <v>422</v>
      </c>
      <c r="I1" t="s">
        <v>415</v>
      </c>
      <c r="J1" t="s">
        <v>416</v>
      </c>
      <c r="K1" t="s">
        <v>417</v>
      </c>
      <c r="L1" t="s">
        <v>418</v>
      </c>
      <c r="M1" t="s">
        <v>419</v>
      </c>
    </row>
    <row r="2" spans="1:13" x14ac:dyDescent="0.25">
      <c r="A2" t="s">
        <v>0</v>
      </c>
      <c r="B2" t="s">
        <v>1</v>
      </c>
      <c r="C2" t="s">
        <v>2</v>
      </c>
      <c r="D2" s="1">
        <v>33005</v>
      </c>
      <c r="E2" s="2">
        <f>YEAR(D2)</f>
        <v>1990</v>
      </c>
      <c r="F2" s="3">
        <f ca="1">YEARFRAC(D2,TODAY(),0)</f>
        <v>35.661111111111111</v>
      </c>
      <c r="G2">
        <v>45000</v>
      </c>
      <c r="H2">
        <f>G2*12</f>
        <v>540000</v>
      </c>
      <c r="I2" t="s">
        <v>3</v>
      </c>
      <c r="J2">
        <v>6</v>
      </c>
      <c r="K2" t="s">
        <v>4</v>
      </c>
      <c r="L2" t="s">
        <v>5</v>
      </c>
      <c r="M2" t="s">
        <v>6</v>
      </c>
    </row>
    <row r="3" spans="1:13" x14ac:dyDescent="0.25">
      <c r="A3" t="s">
        <v>7</v>
      </c>
      <c r="B3" t="s">
        <v>8</v>
      </c>
      <c r="C3" t="s">
        <v>9</v>
      </c>
      <c r="D3" s="1">
        <v>33837</v>
      </c>
      <c r="E3" s="2">
        <f t="shared" ref="E3:E66" si="0">YEAR(D3)</f>
        <v>1992</v>
      </c>
      <c r="F3" s="3">
        <f t="shared" ref="F3:F66" ca="1" si="1">YEARFRAC(D3,TODAY(),0)</f>
        <v>33.386111111111113</v>
      </c>
      <c r="G3">
        <v>38000</v>
      </c>
      <c r="H3">
        <f t="shared" ref="H3:H66" si="2">G3*12</f>
        <v>456000</v>
      </c>
      <c r="I3" t="s">
        <v>10</v>
      </c>
      <c r="J3">
        <v>4</v>
      </c>
      <c r="K3" t="s">
        <v>11</v>
      </c>
      <c r="L3" t="s">
        <v>12</v>
      </c>
      <c r="M3" t="s">
        <v>13</v>
      </c>
    </row>
    <row r="4" spans="1:13" x14ac:dyDescent="0.25">
      <c r="A4" t="s">
        <v>14</v>
      </c>
      <c r="B4" t="s">
        <v>15</v>
      </c>
      <c r="C4" t="s">
        <v>2</v>
      </c>
      <c r="D4" s="1">
        <v>32188</v>
      </c>
      <c r="E4" s="2">
        <f t="shared" si="0"/>
        <v>1988</v>
      </c>
      <c r="F4" s="3">
        <f t="shared" ca="1" si="1"/>
        <v>37.902777777777779</v>
      </c>
      <c r="G4">
        <v>60000</v>
      </c>
      <c r="H4">
        <f t="shared" si="2"/>
        <v>720000</v>
      </c>
      <c r="I4" t="s">
        <v>16</v>
      </c>
      <c r="J4">
        <v>10</v>
      </c>
      <c r="K4" t="s">
        <v>17</v>
      </c>
      <c r="L4" t="s">
        <v>18</v>
      </c>
      <c r="M4" t="s">
        <v>19</v>
      </c>
    </row>
    <row r="5" spans="1:13" x14ac:dyDescent="0.25">
      <c r="A5" t="s">
        <v>20</v>
      </c>
      <c r="B5" t="s">
        <v>21</v>
      </c>
      <c r="C5" t="s">
        <v>9</v>
      </c>
      <c r="D5" s="1">
        <v>35006</v>
      </c>
      <c r="E5" s="2">
        <f t="shared" si="0"/>
        <v>1995</v>
      </c>
      <c r="F5" s="3">
        <f t="shared" ca="1" si="1"/>
        <v>30.18611111111111</v>
      </c>
      <c r="G5">
        <v>32000</v>
      </c>
      <c r="H5">
        <f t="shared" si="2"/>
        <v>384000</v>
      </c>
      <c r="I5" t="s">
        <v>22</v>
      </c>
      <c r="J5">
        <v>2</v>
      </c>
      <c r="K5" t="s">
        <v>23</v>
      </c>
      <c r="L5" t="s">
        <v>24</v>
      </c>
      <c r="M5" t="s">
        <v>25</v>
      </c>
    </row>
    <row r="6" spans="1:13" x14ac:dyDescent="0.25">
      <c r="A6" t="s">
        <v>26</v>
      </c>
      <c r="B6" t="s">
        <v>27</v>
      </c>
      <c r="C6" t="s">
        <v>2</v>
      </c>
      <c r="D6" s="1">
        <v>33407</v>
      </c>
      <c r="E6" s="2">
        <f t="shared" si="0"/>
        <v>1991</v>
      </c>
      <c r="F6" s="3">
        <f t="shared" ca="1" si="1"/>
        <v>34.56111111111111</v>
      </c>
      <c r="G6">
        <v>42000</v>
      </c>
      <c r="H6">
        <f t="shared" si="2"/>
        <v>504000</v>
      </c>
      <c r="I6" t="s">
        <v>3</v>
      </c>
      <c r="J6">
        <v>5</v>
      </c>
      <c r="K6" t="s">
        <v>28</v>
      </c>
      <c r="L6" t="s">
        <v>29</v>
      </c>
      <c r="M6" t="s">
        <v>6</v>
      </c>
    </row>
    <row r="7" spans="1:13" x14ac:dyDescent="0.25">
      <c r="A7" t="s">
        <v>30</v>
      </c>
      <c r="B7" t="s">
        <v>31</v>
      </c>
      <c r="C7" t="s">
        <v>9</v>
      </c>
      <c r="D7" s="1">
        <v>34222</v>
      </c>
      <c r="E7" s="2">
        <f t="shared" si="0"/>
        <v>1993</v>
      </c>
      <c r="F7" s="3">
        <f t="shared" ca="1" si="1"/>
        <v>32.333333333333336</v>
      </c>
      <c r="G7">
        <v>35000</v>
      </c>
      <c r="H7">
        <f t="shared" si="2"/>
        <v>420000</v>
      </c>
      <c r="I7" t="s">
        <v>32</v>
      </c>
      <c r="J7">
        <v>4</v>
      </c>
      <c r="K7" t="s">
        <v>33</v>
      </c>
      <c r="L7" t="s">
        <v>34</v>
      </c>
      <c r="M7" t="s">
        <v>13</v>
      </c>
    </row>
    <row r="8" spans="1:13" x14ac:dyDescent="0.25">
      <c r="A8" t="s">
        <v>35</v>
      </c>
      <c r="B8" t="s">
        <v>36</v>
      </c>
      <c r="C8" t="s">
        <v>2</v>
      </c>
      <c r="D8" s="1">
        <v>32136</v>
      </c>
      <c r="E8" s="2">
        <f t="shared" si="0"/>
        <v>1987</v>
      </c>
      <c r="F8" s="3">
        <f t="shared" ca="1" si="1"/>
        <v>38.041666666666664</v>
      </c>
      <c r="G8">
        <v>55000</v>
      </c>
      <c r="H8">
        <f t="shared" si="2"/>
        <v>660000</v>
      </c>
      <c r="I8" t="s">
        <v>37</v>
      </c>
      <c r="J8">
        <v>9</v>
      </c>
      <c r="K8" t="s">
        <v>38</v>
      </c>
      <c r="L8" t="s">
        <v>39</v>
      </c>
      <c r="M8" t="s">
        <v>40</v>
      </c>
    </row>
    <row r="9" spans="1:13" x14ac:dyDescent="0.25">
      <c r="A9" t="s">
        <v>41</v>
      </c>
      <c r="B9" t="s">
        <v>42</v>
      </c>
      <c r="C9" t="s">
        <v>9</v>
      </c>
      <c r="D9" s="1">
        <v>35138</v>
      </c>
      <c r="E9" s="2">
        <f t="shared" si="0"/>
        <v>1996</v>
      </c>
      <c r="F9" s="3">
        <f t="shared" ca="1" si="1"/>
        <v>29.822222222222223</v>
      </c>
      <c r="G9">
        <v>30000</v>
      </c>
      <c r="H9">
        <f t="shared" si="2"/>
        <v>360000</v>
      </c>
      <c r="I9" t="s">
        <v>43</v>
      </c>
      <c r="J9">
        <v>1</v>
      </c>
      <c r="K9" t="s">
        <v>44</v>
      </c>
      <c r="L9" t="s">
        <v>45</v>
      </c>
      <c r="M9" t="s">
        <v>46</v>
      </c>
    </row>
    <row r="10" spans="1:13" x14ac:dyDescent="0.25">
      <c r="A10" t="s">
        <v>47</v>
      </c>
      <c r="B10" t="s">
        <v>48</v>
      </c>
      <c r="C10" t="s">
        <v>2</v>
      </c>
      <c r="D10" s="1">
        <v>32708</v>
      </c>
      <c r="E10" s="2">
        <f t="shared" si="0"/>
        <v>1989</v>
      </c>
      <c r="F10" s="3">
        <f t="shared" ca="1" si="1"/>
        <v>36.475000000000001</v>
      </c>
      <c r="G10">
        <v>48000</v>
      </c>
      <c r="H10">
        <f t="shared" si="2"/>
        <v>576000</v>
      </c>
      <c r="I10" t="s">
        <v>3</v>
      </c>
      <c r="J10">
        <v>7</v>
      </c>
      <c r="K10" t="s">
        <v>49</v>
      </c>
      <c r="L10" t="s">
        <v>50</v>
      </c>
      <c r="M10" t="s">
        <v>6</v>
      </c>
    </row>
    <row r="11" spans="1:13" x14ac:dyDescent="0.25">
      <c r="A11" t="s">
        <v>51</v>
      </c>
      <c r="B11" t="s">
        <v>52</v>
      </c>
      <c r="C11" t="s">
        <v>9</v>
      </c>
      <c r="D11" s="1">
        <v>34362</v>
      </c>
      <c r="E11" s="2">
        <f t="shared" si="0"/>
        <v>1994</v>
      </c>
      <c r="F11" s="3">
        <f t="shared" ca="1" si="1"/>
        <v>31.95</v>
      </c>
      <c r="G11">
        <v>34000</v>
      </c>
      <c r="H11">
        <f t="shared" si="2"/>
        <v>408000</v>
      </c>
      <c r="I11" t="s">
        <v>53</v>
      </c>
      <c r="J11">
        <v>3</v>
      </c>
      <c r="K11" t="s">
        <v>54</v>
      </c>
      <c r="L11" t="s">
        <v>12</v>
      </c>
      <c r="M11" t="s">
        <v>19</v>
      </c>
    </row>
    <row r="12" spans="1:13" x14ac:dyDescent="0.25">
      <c r="A12" t="s">
        <v>55</v>
      </c>
      <c r="B12" t="s">
        <v>56</v>
      </c>
      <c r="C12" t="s">
        <v>2</v>
      </c>
      <c r="D12" s="1">
        <v>33886</v>
      </c>
      <c r="E12" s="2">
        <f t="shared" si="0"/>
        <v>1992</v>
      </c>
      <c r="F12" s="3">
        <f t="shared" ca="1" si="1"/>
        <v>33.25277777777778</v>
      </c>
      <c r="G12">
        <v>41000</v>
      </c>
      <c r="H12">
        <f t="shared" si="2"/>
        <v>492000</v>
      </c>
      <c r="I12" t="s">
        <v>57</v>
      </c>
      <c r="J12">
        <v>5</v>
      </c>
      <c r="K12" t="s">
        <v>58</v>
      </c>
      <c r="L12" t="s">
        <v>59</v>
      </c>
      <c r="M12" t="s">
        <v>6</v>
      </c>
    </row>
    <row r="13" spans="1:13" x14ac:dyDescent="0.25">
      <c r="A13" t="s">
        <v>60</v>
      </c>
      <c r="B13" t="s">
        <v>61</v>
      </c>
      <c r="C13" t="s">
        <v>9</v>
      </c>
      <c r="D13" s="1">
        <v>35542</v>
      </c>
      <c r="E13" s="2">
        <f t="shared" si="0"/>
        <v>1997</v>
      </c>
      <c r="F13" s="3">
        <f t="shared" ca="1" si="1"/>
        <v>28.716666666666665</v>
      </c>
      <c r="G13">
        <v>29000</v>
      </c>
      <c r="H13">
        <f t="shared" si="2"/>
        <v>348000</v>
      </c>
      <c r="I13" t="s">
        <v>62</v>
      </c>
      <c r="J13">
        <v>1</v>
      </c>
      <c r="K13" t="s">
        <v>63</v>
      </c>
      <c r="L13" t="s">
        <v>64</v>
      </c>
      <c r="M13" t="s">
        <v>13</v>
      </c>
    </row>
    <row r="14" spans="1:13" x14ac:dyDescent="0.25">
      <c r="A14" t="s">
        <v>65</v>
      </c>
      <c r="B14" t="s">
        <v>66</v>
      </c>
      <c r="C14" t="s">
        <v>2</v>
      </c>
      <c r="D14" s="1">
        <v>31593</v>
      </c>
      <c r="E14" s="2">
        <f t="shared" si="0"/>
        <v>1986</v>
      </c>
      <c r="F14" s="3">
        <f t="shared" ca="1" si="1"/>
        <v>39.527777777777779</v>
      </c>
      <c r="G14">
        <v>65000</v>
      </c>
      <c r="H14">
        <f t="shared" si="2"/>
        <v>780000</v>
      </c>
      <c r="I14" t="s">
        <v>16</v>
      </c>
      <c r="J14">
        <v>12</v>
      </c>
      <c r="K14" t="s">
        <v>67</v>
      </c>
      <c r="L14" t="s">
        <v>68</v>
      </c>
      <c r="M14" t="s">
        <v>46</v>
      </c>
    </row>
    <row r="15" spans="1:13" x14ac:dyDescent="0.25">
      <c r="A15" t="s">
        <v>69</v>
      </c>
      <c r="B15" t="s">
        <v>70</v>
      </c>
      <c r="C15" t="s">
        <v>9</v>
      </c>
      <c r="D15" s="1">
        <v>35044</v>
      </c>
      <c r="E15" s="2">
        <f t="shared" si="0"/>
        <v>1995</v>
      </c>
      <c r="F15" s="3">
        <f t="shared" ca="1" si="1"/>
        <v>30.080555555555556</v>
      </c>
      <c r="G15">
        <v>36000</v>
      </c>
      <c r="H15">
        <f t="shared" si="2"/>
        <v>432000</v>
      </c>
      <c r="I15" t="s">
        <v>3</v>
      </c>
      <c r="J15">
        <v>3</v>
      </c>
      <c r="K15" t="s">
        <v>71</v>
      </c>
      <c r="L15" t="s">
        <v>72</v>
      </c>
      <c r="M15" t="s">
        <v>6</v>
      </c>
    </row>
    <row r="16" spans="1:13" x14ac:dyDescent="0.25">
      <c r="A16" t="s">
        <v>73</v>
      </c>
      <c r="B16" t="s">
        <v>74</v>
      </c>
      <c r="C16" t="s">
        <v>2</v>
      </c>
      <c r="D16" s="1">
        <v>33087</v>
      </c>
      <c r="E16" s="2">
        <f t="shared" si="0"/>
        <v>1990</v>
      </c>
      <c r="F16" s="3">
        <f t="shared" ca="1" si="1"/>
        <v>35.43888888888889</v>
      </c>
      <c r="G16">
        <v>52000</v>
      </c>
      <c r="H16">
        <f t="shared" si="2"/>
        <v>624000</v>
      </c>
      <c r="I16" t="s">
        <v>75</v>
      </c>
      <c r="J16">
        <v>8</v>
      </c>
      <c r="K16" t="s">
        <v>76</v>
      </c>
      <c r="L16" t="s">
        <v>77</v>
      </c>
      <c r="M16" t="s">
        <v>78</v>
      </c>
    </row>
    <row r="17" spans="1:13" x14ac:dyDescent="0.25">
      <c r="A17" t="s">
        <v>79</v>
      </c>
      <c r="B17" t="s">
        <v>80</v>
      </c>
      <c r="C17" t="s">
        <v>9</v>
      </c>
      <c r="D17" s="1">
        <v>33314</v>
      </c>
      <c r="E17" s="2">
        <f t="shared" si="0"/>
        <v>1991</v>
      </c>
      <c r="F17" s="3">
        <f t="shared" ca="1" si="1"/>
        <v>34.81388888888889</v>
      </c>
      <c r="G17">
        <v>43000</v>
      </c>
      <c r="H17">
        <f t="shared" si="2"/>
        <v>516000</v>
      </c>
      <c r="I17" t="s">
        <v>16</v>
      </c>
      <c r="J17">
        <v>6</v>
      </c>
      <c r="K17" t="s">
        <v>81</v>
      </c>
      <c r="L17" t="s">
        <v>82</v>
      </c>
      <c r="M17" t="s">
        <v>13</v>
      </c>
    </row>
    <row r="18" spans="1:13" x14ac:dyDescent="0.25">
      <c r="A18" t="s">
        <v>83</v>
      </c>
      <c r="B18" t="s">
        <v>84</v>
      </c>
      <c r="C18" t="s">
        <v>2</v>
      </c>
      <c r="D18" s="1">
        <v>34582</v>
      </c>
      <c r="E18" s="2">
        <f t="shared" si="0"/>
        <v>1994</v>
      </c>
      <c r="F18" s="3">
        <f t="shared" ca="1" si="1"/>
        <v>31.347222222222221</v>
      </c>
      <c r="G18">
        <v>37000</v>
      </c>
      <c r="H18">
        <f t="shared" si="2"/>
        <v>444000</v>
      </c>
      <c r="I18" t="s">
        <v>22</v>
      </c>
      <c r="J18">
        <v>3</v>
      </c>
      <c r="K18" t="s">
        <v>85</v>
      </c>
      <c r="L18" t="s">
        <v>24</v>
      </c>
      <c r="M18" t="s">
        <v>25</v>
      </c>
    </row>
    <row r="19" spans="1:13" x14ac:dyDescent="0.25">
      <c r="A19" t="s">
        <v>86</v>
      </c>
      <c r="B19" t="s">
        <v>87</v>
      </c>
      <c r="C19" t="s">
        <v>9</v>
      </c>
      <c r="D19" s="1">
        <v>35076</v>
      </c>
      <c r="E19" s="2">
        <f t="shared" si="0"/>
        <v>1996</v>
      </c>
      <c r="F19" s="3">
        <f t="shared" ca="1" si="1"/>
        <v>29.994444444444444</v>
      </c>
      <c r="G19">
        <v>31000</v>
      </c>
      <c r="H19">
        <f t="shared" si="2"/>
        <v>372000</v>
      </c>
      <c r="I19" t="s">
        <v>88</v>
      </c>
      <c r="J19">
        <v>2</v>
      </c>
      <c r="K19" t="s">
        <v>89</v>
      </c>
      <c r="L19" t="s">
        <v>12</v>
      </c>
      <c r="M19" t="s">
        <v>6</v>
      </c>
    </row>
    <row r="20" spans="1:13" x14ac:dyDescent="0.25">
      <c r="A20" t="s">
        <v>90</v>
      </c>
      <c r="B20" t="s">
        <v>91</v>
      </c>
      <c r="C20" t="s">
        <v>2</v>
      </c>
      <c r="D20" s="1">
        <v>32467</v>
      </c>
      <c r="E20" s="2">
        <f t="shared" si="0"/>
        <v>1988</v>
      </c>
      <c r="F20" s="3">
        <f t="shared" ca="1" si="1"/>
        <v>37.138888888888886</v>
      </c>
      <c r="G20">
        <v>58000</v>
      </c>
      <c r="H20">
        <f t="shared" si="2"/>
        <v>696000</v>
      </c>
      <c r="I20" t="s">
        <v>57</v>
      </c>
      <c r="J20">
        <v>10</v>
      </c>
      <c r="K20" t="s">
        <v>92</v>
      </c>
      <c r="L20" t="s">
        <v>93</v>
      </c>
      <c r="M20" t="s">
        <v>6</v>
      </c>
    </row>
    <row r="21" spans="1:13" x14ac:dyDescent="0.25">
      <c r="A21" t="s">
        <v>94</v>
      </c>
      <c r="B21" t="s">
        <v>95</v>
      </c>
      <c r="C21" t="s">
        <v>9</v>
      </c>
      <c r="D21" s="1">
        <v>34128</v>
      </c>
      <c r="E21" s="2">
        <f t="shared" si="0"/>
        <v>1993</v>
      </c>
      <c r="F21" s="3">
        <f t="shared" ca="1" si="1"/>
        <v>32.588888888888889</v>
      </c>
      <c r="G21">
        <v>34000</v>
      </c>
      <c r="H21">
        <f t="shared" si="2"/>
        <v>408000</v>
      </c>
      <c r="I21" t="s">
        <v>32</v>
      </c>
      <c r="J21">
        <v>4</v>
      </c>
      <c r="K21" t="s">
        <v>96</v>
      </c>
      <c r="L21" t="s">
        <v>97</v>
      </c>
      <c r="M21" t="s">
        <v>19</v>
      </c>
    </row>
    <row r="22" spans="1:13" x14ac:dyDescent="0.25">
      <c r="A22" t="s">
        <v>98</v>
      </c>
      <c r="B22" t="s">
        <v>99</v>
      </c>
      <c r="C22" t="s">
        <v>2</v>
      </c>
      <c r="D22" s="1">
        <v>33354</v>
      </c>
      <c r="E22" s="2">
        <f t="shared" si="0"/>
        <v>1991</v>
      </c>
      <c r="F22" s="3">
        <f t="shared" ca="1" si="1"/>
        <v>34.705555555555556</v>
      </c>
      <c r="G22">
        <v>46000</v>
      </c>
      <c r="H22">
        <f t="shared" si="2"/>
        <v>552000</v>
      </c>
      <c r="I22" t="s">
        <v>3</v>
      </c>
      <c r="J22">
        <v>6</v>
      </c>
      <c r="K22" t="s">
        <v>100</v>
      </c>
      <c r="L22" t="s">
        <v>101</v>
      </c>
      <c r="M22" t="s">
        <v>13</v>
      </c>
    </row>
    <row r="23" spans="1:13" x14ac:dyDescent="0.25">
      <c r="A23" t="s">
        <v>102</v>
      </c>
      <c r="B23" t="s">
        <v>103</v>
      </c>
      <c r="C23" t="s">
        <v>9</v>
      </c>
      <c r="D23" s="1">
        <v>35625</v>
      </c>
      <c r="E23" s="2">
        <f t="shared" si="0"/>
        <v>1997</v>
      </c>
      <c r="F23" s="3">
        <f t="shared" ca="1" si="1"/>
        <v>28.488888888888887</v>
      </c>
      <c r="G23">
        <v>28000</v>
      </c>
      <c r="H23">
        <f t="shared" si="2"/>
        <v>336000</v>
      </c>
      <c r="I23" t="s">
        <v>104</v>
      </c>
      <c r="J23">
        <v>1</v>
      </c>
      <c r="K23" t="s">
        <v>105</v>
      </c>
      <c r="L23" t="s">
        <v>106</v>
      </c>
      <c r="M23" t="s">
        <v>6</v>
      </c>
    </row>
    <row r="24" spans="1:13" x14ac:dyDescent="0.25">
      <c r="A24" t="s">
        <v>107</v>
      </c>
      <c r="B24" t="s">
        <v>108</v>
      </c>
      <c r="C24" t="s">
        <v>2</v>
      </c>
      <c r="D24" s="1">
        <v>32548</v>
      </c>
      <c r="E24" s="2">
        <f t="shared" si="0"/>
        <v>1989</v>
      </c>
      <c r="F24" s="3">
        <f t="shared" ca="1" si="1"/>
        <v>36.919444444444444</v>
      </c>
      <c r="G24">
        <v>50000</v>
      </c>
      <c r="H24">
        <f t="shared" si="2"/>
        <v>600000</v>
      </c>
      <c r="I24" t="s">
        <v>16</v>
      </c>
      <c r="J24">
        <v>8</v>
      </c>
      <c r="K24" t="s">
        <v>109</v>
      </c>
      <c r="L24" t="s">
        <v>110</v>
      </c>
      <c r="M24" t="s">
        <v>25</v>
      </c>
    </row>
    <row r="25" spans="1:13" x14ac:dyDescent="0.25">
      <c r="A25" t="s">
        <v>111</v>
      </c>
      <c r="B25" t="s">
        <v>112</v>
      </c>
      <c r="C25" t="s">
        <v>9</v>
      </c>
      <c r="D25" s="1">
        <v>33907</v>
      </c>
      <c r="E25" s="2">
        <f t="shared" si="0"/>
        <v>1992</v>
      </c>
      <c r="F25" s="3">
        <f t="shared" ca="1" si="1"/>
        <v>33.194444444444443</v>
      </c>
      <c r="G25">
        <v>39000</v>
      </c>
      <c r="H25">
        <f t="shared" si="2"/>
        <v>468000</v>
      </c>
      <c r="I25" t="s">
        <v>57</v>
      </c>
      <c r="J25">
        <v>5</v>
      </c>
      <c r="K25" t="s">
        <v>71</v>
      </c>
      <c r="L25" t="s">
        <v>72</v>
      </c>
      <c r="M25" t="s">
        <v>46</v>
      </c>
    </row>
    <row r="26" spans="1:13" x14ac:dyDescent="0.25">
      <c r="A26" t="s">
        <v>115</v>
      </c>
      <c r="B26" t="s">
        <v>116</v>
      </c>
      <c r="C26" t="s">
        <v>2</v>
      </c>
      <c r="D26" s="1">
        <v>34835</v>
      </c>
      <c r="E26" s="2">
        <f t="shared" si="0"/>
        <v>1995</v>
      </c>
      <c r="F26" s="3">
        <f t="shared" ca="1" si="1"/>
        <v>30.65</v>
      </c>
      <c r="G26">
        <v>36000</v>
      </c>
      <c r="H26">
        <f t="shared" si="2"/>
        <v>432000</v>
      </c>
      <c r="I26" t="s">
        <v>3</v>
      </c>
      <c r="J26">
        <v>3</v>
      </c>
      <c r="K26" t="s">
        <v>117</v>
      </c>
      <c r="L26" t="s">
        <v>29</v>
      </c>
      <c r="M26" t="s">
        <v>6</v>
      </c>
    </row>
    <row r="27" spans="1:13" x14ac:dyDescent="0.25">
      <c r="A27" t="s">
        <v>118</v>
      </c>
      <c r="B27" t="s">
        <v>119</v>
      </c>
      <c r="C27" t="s">
        <v>9</v>
      </c>
      <c r="D27" s="1">
        <v>36026</v>
      </c>
      <c r="E27" s="2">
        <f t="shared" si="0"/>
        <v>1998</v>
      </c>
      <c r="F27" s="3">
        <f t="shared" ca="1" si="1"/>
        <v>27.391666666666666</v>
      </c>
      <c r="G27">
        <v>27000</v>
      </c>
      <c r="H27">
        <f t="shared" si="2"/>
        <v>324000</v>
      </c>
      <c r="I27" t="s">
        <v>43</v>
      </c>
      <c r="J27">
        <v>1</v>
      </c>
      <c r="K27" t="s">
        <v>120</v>
      </c>
      <c r="L27" t="s">
        <v>121</v>
      </c>
      <c r="M27" t="s">
        <v>13</v>
      </c>
    </row>
    <row r="28" spans="1:13" x14ac:dyDescent="0.25">
      <c r="A28" t="s">
        <v>122</v>
      </c>
      <c r="B28" t="s">
        <v>123</v>
      </c>
      <c r="C28" t="s">
        <v>2</v>
      </c>
      <c r="D28" s="1">
        <v>31781</v>
      </c>
      <c r="E28" s="2">
        <f t="shared" si="0"/>
        <v>1987</v>
      </c>
      <c r="F28" s="3">
        <f t="shared" ca="1" si="1"/>
        <v>39.016666666666666</v>
      </c>
      <c r="G28">
        <v>62000</v>
      </c>
      <c r="H28">
        <f t="shared" si="2"/>
        <v>744000</v>
      </c>
      <c r="I28" t="s">
        <v>75</v>
      </c>
      <c r="J28">
        <v>11</v>
      </c>
      <c r="K28" t="s">
        <v>124</v>
      </c>
      <c r="L28" t="s">
        <v>125</v>
      </c>
      <c r="M28" t="s">
        <v>6</v>
      </c>
    </row>
    <row r="29" spans="1:13" x14ac:dyDescent="0.25">
      <c r="A29" t="s">
        <v>126</v>
      </c>
      <c r="B29" t="s">
        <v>127</v>
      </c>
      <c r="C29" t="s">
        <v>9</v>
      </c>
      <c r="D29" s="1">
        <v>34661</v>
      </c>
      <c r="E29" s="2">
        <f t="shared" si="0"/>
        <v>1994</v>
      </c>
      <c r="F29" s="3">
        <f t="shared" ca="1" si="1"/>
        <v>31.130555555555556</v>
      </c>
      <c r="G29">
        <v>33000</v>
      </c>
      <c r="H29">
        <f t="shared" si="2"/>
        <v>396000</v>
      </c>
      <c r="I29" t="s">
        <v>128</v>
      </c>
      <c r="J29">
        <v>3</v>
      </c>
      <c r="K29" t="s">
        <v>129</v>
      </c>
      <c r="L29" t="s">
        <v>130</v>
      </c>
      <c r="M29" t="s">
        <v>40</v>
      </c>
    </row>
    <row r="30" spans="1:13" x14ac:dyDescent="0.25">
      <c r="A30" t="s">
        <v>131</v>
      </c>
      <c r="B30" t="s">
        <v>132</v>
      </c>
      <c r="C30" t="s">
        <v>2</v>
      </c>
      <c r="D30" s="1">
        <v>31308</v>
      </c>
      <c r="E30" s="2">
        <f t="shared" si="0"/>
        <v>1985</v>
      </c>
      <c r="F30" s="3">
        <f t="shared" ca="1" si="1"/>
        <v>40.31111111111111</v>
      </c>
      <c r="G30">
        <v>70000</v>
      </c>
      <c r="H30">
        <f t="shared" si="2"/>
        <v>840000</v>
      </c>
      <c r="I30" t="s">
        <v>16</v>
      </c>
      <c r="J30">
        <v>14</v>
      </c>
      <c r="K30" t="s">
        <v>133</v>
      </c>
      <c r="L30" t="s">
        <v>134</v>
      </c>
      <c r="M30" t="s">
        <v>6</v>
      </c>
    </row>
    <row r="31" spans="1:13" x14ac:dyDescent="0.25">
      <c r="A31" t="s">
        <v>135</v>
      </c>
      <c r="B31" t="s">
        <v>136</v>
      </c>
      <c r="C31" t="s">
        <v>9</v>
      </c>
      <c r="D31" s="1">
        <v>35122</v>
      </c>
      <c r="E31" s="2">
        <f t="shared" si="0"/>
        <v>1996</v>
      </c>
      <c r="F31" s="3">
        <f t="shared" ca="1" si="1"/>
        <v>29.869444444444444</v>
      </c>
      <c r="G31">
        <v>30000</v>
      </c>
      <c r="H31">
        <f t="shared" si="2"/>
        <v>360000</v>
      </c>
      <c r="I31" t="s">
        <v>62</v>
      </c>
      <c r="J31">
        <v>2</v>
      </c>
      <c r="K31" t="s">
        <v>137</v>
      </c>
      <c r="L31" t="s">
        <v>138</v>
      </c>
      <c r="M31" t="s">
        <v>13</v>
      </c>
    </row>
    <row r="32" spans="1:13" x14ac:dyDescent="0.25">
      <c r="A32" t="s">
        <v>139</v>
      </c>
      <c r="B32" t="s">
        <v>140</v>
      </c>
      <c r="C32" t="s">
        <v>2</v>
      </c>
      <c r="D32" s="1">
        <v>33213</v>
      </c>
      <c r="E32" s="2">
        <f t="shared" si="0"/>
        <v>1990</v>
      </c>
      <c r="F32" s="3">
        <f t="shared" ca="1" si="1"/>
        <v>35.094444444444441</v>
      </c>
      <c r="G32">
        <v>48000</v>
      </c>
      <c r="H32">
        <f t="shared" si="2"/>
        <v>576000</v>
      </c>
      <c r="I32" t="s">
        <v>57</v>
      </c>
      <c r="J32">
        <v>7</v>
      </c>
      <c r="K32" t="s">
        <v>141</v>
      </c>
      <c r="L32" t="s">
        <v>142</v>
      </c>
      <c r="M32" t="s">
        <v>19</v>
      </c>
    </row>
    <row r="33" spans="1:13" x14ac:dyDescent="0.25">
      <c r="A33" t="s">
        <v>143</v>
      </c>
      <c r="B33" t="s">
        <v>144</v>
      </c>
      <c r="C33" t="s">
        <v>9</v>
      </c>
      <c r="D33" s="1">
        <v>34151</v>
      </c>
      <c r="E33" s="2">
        <f t="shared" si="0"/>
        <v>1993</v>
      </c>
      <c r="F33" s="3">
        <f t="shared" ca="1" si="1"/>
        <v>32.524999999999999</v>
      </c>
      <c r="G33">
        <v>35000</v>
      </c>
      <c r="H33">
        <f t="shared" si="2"/>
        <v>420000</v>
      </c>
      <c r="I33" t="s">
        <v>22</v>
      </c>
      <c r="J33">
        <v>4</v>
      </c>
      <c r="K33" t="s">
        <v>145</v>
      </c>
      <c r="L33" t="s">
        <v>146</v>
      </c>
      <c r="M33" t="s">
        <v>6</v>
      </c>
    </row>
    <row r="34" spans="1:13" x14ac:dyDescent="0.25">
      <c r="A34" t="s">
        <v>147</v>
      </c>
      <c r="B34" t="s">
        <v>148</v>
      </c>
      <c r="C34" t="s">
        <v>2</v>
      </c>
      <c r="D34" s="1">
        <v>33685</v>
      </c>
      <c r="E34" s="2">
        <f t="shared" si="0"/>
        <v>1992</v>
      </c>
      <c r="F34" s="3">
        <f t="shared" ca="1" si="1"/>
        <v>33.799999999999997</v>
      </c>
      <c r="G34">
        <v>42000</v>
      </c>
      <c r="H34">
        <f t="shared" si="2"/>
        <v>504000</v>
      </c>
      <c r="I34" t="s">
        <v>3</v>
      </c>
      <c r="J34">
        <v>5</v>
      </c>
      <c r="K34" t="s">
        <v>149</v>
      </c>
      <c r="L34" t="s">
        <v>150</v>
      </c>
      <c r="M34" t="s">
        <v>78</v>
      </c>
    </row>
    <row r="35" spans="1:13" x14ac:dyDescent="0.25">
      <c r="A35" t="s">
        <v>151</v>
      </c>
      <c r="B35" t="s">
        <v>152</v>
      </c>
      <c r="C35" t="s">
        <v>9</v>
      </c>
      <c r="D35" s="1">
        <v>34987</v>
      </c>
      <c r="E35" s="2">
        <f t="shared" si="0"/>
        <v>1995</v>
      </c>
      <c r="F35" s="3">
        <f t="shared" ca="1" si="1"/>
        <v>30.236111111111111</v>
      </c>
      <c r="G35">
        <v>34000</v>
      </c>
      <c r="H35">
        <f t="shared" si="2"/>
        <v>408000</v>
      </c>
      <c r="I35" t="s">
        <v>16</v>
      </c>
      <c r="J35">
        <v>3</v>
      </c>
      <c r="K35" t="s">
        <v>153</v>
      </c>
      <c r="L35" t="s">
        <v>154</v>
      </c>
      <c r="M35" t="s">
        <v>13</v>
      </c>
    </row>
    <row r="36" spans="1:13" x14ac:dyDescent="0.25">
      <c r="A36" t="s">
        <v>155</v>
      </c>
      <c r="B36" t="s">
        <v>156</v>
      </c>
      <c r="C36" t="s">
        <v>2</v>
      </c>
      <c r="D36" s="1">
        <v>32305</v>
      </c>
      <c r="E36" s="2">
        <f t="shared" si="0"/>
        <v>1988</v>
      </c>
      <c r="F36" s="3">
        <f t="shared" ca="1" si="1"/>
        <v>37.580555555555556</v>
      </c>
      <c r="G36">
        <v>56000</v>
      </c>
      <c r="H36">
        <f t="shared" si="2"/>
        <v>672000</v>
      </c>
      <c r="I36" t="s">
        <v>37</v>
      </c>
      <c r="J36">
        <v>9</v>
      </c>
      <c r="K36" t="s">
        <v>157</v>
      </c>
      <c r="L36" t="s">
        <v>158</v>
      </c>
      <c r="M36" t="s">
        <v>6</v>
      </c>
    </row>
    <row r="37" spans="1:13" x14ac:dyDescent="0.25">
      <c r="A37" t="s">
        <v>159</v>
      </c>
      <c r="B37" t="s">
        <v>160</v>
      </c>
      <c r="C37" t="s">
        <v>9</v>
      </c>
      <c r="D37" s="1">
        <v>35528</v>
      </c>
      <c r="E37" s="2">
        <f t="shared" si="0"/>
        <v>1997</v>
      </c>
      <c r="F37" s="3">
        <f t="shared" ca="1" si="1"/>
        <v>28.755555555555556</v>
      </c>
      <c r="G37">
        <v>29000</v>
      </c>
      <c r="H37">
        <f t="shared" si="2"/>
        <v>348000</v>
      </c>
      <c r="I37" t="s">
        <v>161</v>
      </c>
      <c r="J37">
        <v>1</v>
      </c>
      <c r="K37" t="s">
        <v>162</v>
      </c>
      <c r="L37" t="s">
        <v>163</v>
      </c>
      <c r="M37" t="s">
        <v>25</v>
      </c>
    </row>
    <row r="38" spans="1:13" x14ac:dyDescent="0.25">
      <c r="A38" t="s">
        <v>164</v>
      </c>
      <c r="B38" t="s">
        <v>165</v>
      </c>
      <c r="C38" t="s">
        <v>2</v>
      </c>
      <c r="D38" s="1">
        <v>31441</v>
      </c>
      <c r="E38" s="2">
        <f t="shared" si="0"/>
        <v>1986</v>
      </c>
      <c r="F38" s="3">
        <f t="shared" ca="1" si="1"/>
        <v>39.947222222222223</v>
      </c>
      <c r="G38">
        <v>68000</v>
      </c>
      <c r="H38">
        <f t="shared" si="2"/>
        <v>816000</v>
      </c>
      <c r="I38" t="s">
        <v>75</v>
      </c>
      <c r="J38">
        <v>13</v>
      </c>
      <c r="K38" t="s">
        <v>166</v>
      </c>
      <c r="L38" t="s">
        <v>167</v>
      </c>
      <c r="M38" t="s">
        <v>6</v>
      </c>
    </row>
    <row r="39" spans="1:13" x14ac:dyDescent="0.25">
      <c r="A39" t="s">
        <v>168</v>
      </c>
      <c r="B39" t="s">
        <v>169</v>
      </c>
      <c r="C39" t="s">
        <v>9</v>
      </c>
      <c r="D39" s="1">
        <v>34549</v>
      </c>
      <c r="E39" s="2">
        <f t="shared" si="0"/>
        <v>1994</v>
      </c>
      <c r="F39" s="3">
        <f t="shared" ca="1" si="1"/>
        <v>31.43611111111111</v>
      </c>
      <c r="G39">
        <v>36000</v>
      </c>
      <c r="H39">
        <f t="shared" si="2"/>
        <v>432000</v>
      </c>
      <c r="I39" t="s">
        <v>16</v>
      </c>
      <c r="J39">
        <v>4</v>
      </c>
      <c r="K39" t="s">
        <v>170</v>
      </c>
      <c r="L39" t="s">
        <v>171</v>
      </c>
      <c r="M39" t="s">
        <v>46</v>
      </c>
    </row>
    <row r="40" spans="1:13" x14ac:dyDescent="0.25">
      <c r="A40" t="s">
        <v>172</v>
      </c>
      <c r="B40" t="s">
        <v>173</v>
      </c>
      <c r="C40" t="s">
        <v>2</v>
      </c>
      <c r="D40" s="1">
        <v>33506</v>
      </c>
      <c r="E40" s="2">
        <f t="shared" si="0"/>
        <v>1991</v>
      </c>
      <c r="F40" s="3">
        <f t="shared" ca="1" si="1"/>
        <v>34.291666666666664</v>
      </c>
      <c r="G40">
        <v>44000</v>
      </c>
      <c r="H40">
        <f t="shared" si="2"/>
        <v>528000</v>
      </c>
      <c r="I40" t="s">
        <v>3</v>
      </c>
      <c r="J40">
        <v>6</v>
      </c>
      <c r="K40" t="s">
        <v>174</v>
      </c>
      <c r="L40" t="s">
        <v>175</v>
      </c>
      <c r="M40" t="s">
        <v>13</v>
      </c>
    </row>
    <row r="41" spans="1:13" x14ac:dyDescent="0.25">
      <c r="A41" t="s">
        <v>176</v>
      </c>
      <c r="B41" t="s">
        <v>177</v>
      </c>
      <c r="C41" t="s">
        <v>9</v>
      </c>
      <c r="D41" s="1">
        <v>35418</v>
      </c>
      <c r="E41" s="2">
        <f t="shared" si="0"/>
        <v>1996</v>
      </c>
      <c r="F41" s="3">
        <f t="shared" ca="1" si="1"/>
        <v>29.058333333333334</v>
      </c>
      <c r="G41">
        <v>31000</v>
      </c>
      <c r="H41">
        <f t="shared" si="2"/>
        <v>372000</v>
      </c>
      <c r="I41" t="s">
        <v>178</v>
      </c>
      <c r="J41">
        <v>2</v>
      </c>
      <c r="K41" t="s">
        <v>179</v>
      </c>
      <c r="L41" t="s">
        <v>180</v>
      </c>
      <c r="M41" t="s">
        <v>6</v>
      </c>
    </row>
    <row r="42" spans="1:13" x14ac:dyDescent="0.25">
      <c r="A42" t="s">
        <v>181</v>
      </c>
      <c r="B42" t="s">
        <v>182</v>
      </c>
      <c r="C42" t="s">
        <v>2</v>
      </c>
      <c r="D42" s="1">
        <v>34103</v>
      </c>
      <c r="E42" s="2">
        <f t="shared" si="0"/>
        <v>1993</v>
      </c>
      <c r="F42" s="3">
        <f t="shared" ca="1" si="1"/>
        <v>32.655555555555559</v>
      </c>
      <c r="G42">
        <v>39000</v>
      </c>
      <c r="H42">
        <f t="shared" si="2"/>
        <v>468000</v>
      </c>
      <c r="I42" t="s">
        <v>3</v>
      </c>
      <c r="J42">
        <v>4</v>
      </c>
      <c r="K42" t="s">
        <v>183</v>
      </c>
      <c r="L42" t="s">
        <v>184</v>
      </c>
      <c r="M42" t="s">
        <v>6</v>
      </c>
    </row>
    <row r="43" spans="1:13" x14ac:dyDescent="0.25">
      <c r="A43" t="s">
        <v>185</v>
      </c>
      <c r="B43" t="s">
        <v>186</v>
      </c>
      <c r="C43" t="s">
        <v>9</v>
      </c>
      <c r="D43" s="1">
        <v>35695</v>
      </c>
      <c r="E43" s="2">
        <f t="shared" si="0"/>
        <v>1997</v>
      </c>
      <c r="F43" s="3">
        <f t="shared" ca="1" si="1"/>
        <v>28.3</v>
      </c>
      <c r="G43">
        <v>30000</v>
      </c>
      <c r="H43">
        <f t="shared" si="2"/>
        <v>360000</v>
      </c>
      <c r="I43" t="s">
        <v>22</v>
      </c>
      <c r="J43">
        <v>2</v>
      </c>
      <c r="K43" t="s">
        <v>113</v>
      </c>
      <c r="L43" t="s">
        <v>187</v>
      </c>
      <c r="M43" t="s">
        <v>13</v>
      </c>
    </row>
    <row r="44" spans="1:13" x14ac:dyDescent="0.25">
      <c r="A44" t="s">
        <v>188</v>
      </c>
      <c r="B44" t="s">
        <v>189</v>
      </c>
      <c r="C44" t="s">
        <v>2</v>
      </c>
      <c r="D44" s="1">
        <v>32526</v>
      </c>
      <c r="E44" s="2">
        <f t="shared" si="0"/>
        <v>1989</v>
      </c>
      <c r="F44" s="3">
        <f t="shared" ca="1" si="1"/>
        <v>36.977777777777774</v>
      </c>
      <c r="G44">
        <v>54000</v>
      </c>
      <c r="H44">
        <f t="shared" si="2"/>
        <v>648000</v>
      </c>
      <c r="I44" t="s">
        <v>37</v>
      </c>
      <c r="J44">
        <v>9</v>
      </c>
      <c r="K44" t="s">
        <v>190</v>
      </c>
      <c r="L44" t="s">
        <v>191</v>
      </c>
      <c r="M44" t="s">
        <v>19</v>
      </c>
    </row>
    <row r="45" spans="1:13" x14ac:dyDescent="0.25">
      <c r="A45" t="s">
        <v>192</v>
      </c>
      <c r="B45" t="s">
        <v>193</v>
      </c>
      <c r="C45" t="s">
        <v>9</v>
      </c>
      <c r="D45" s="1">
        <v>34524</v>
      </c>
      <c r="E45" s="2">
        <f t="shared" si="0"/>
        <v>1994</v>
      </c>
      <c r="F45" s="3">
        <f t="shared" ca="1" si="1"/>
        <v>31.502777777777776</v>
      </c>
      <c r="G45">
        <v>35000</v>
      </c>
      <c r="H45">
        <f t="shared" si="2"/>
        <v>420000</v>
      </c>
      <c r="I45" t="s">
        <v>16</v>
      </c>
      <c r="J45">
        <v>4</v>
      </c>
      <c r="K45" t="s">
        <v>194</v>
      </c>
      <c r="L45" t="s">
        <v>195</v>
      </c>
      <c r="M45" t="s">
        <v>46</v>
      </c>
    </row>
    <row r="46" spans="1:13" x14ac:dyDescent="0.25">
      <c r="A46" t="s">
        <v>196</v>
      </c>
      <c r="B46" t="s">
        <v>197</v>
      </c>
      <c r="C46" t="s">
        <v>2</v>
      </c>
      <c r="D46" s="1">
        <v>33545</v>
      </c>
      <c r="E46" s="2">
        <f t="shared" si="0"/>
        <v>1991</v>
      </c>
      <c r="F46" s="3">
        <f t="shared" ca="1" si="1"/>
        <v>34.18611111111111</v>
      </c>
      <c r="G46">
        <v>47000</v>
      </c>
      <c r="H46">
        <f t="shared" si="2"/>
        <v>564000</v>
      </c>
      <c r="I46" t="s">
        <v>57</v>
      </c>
      <c r="J46">
        <v>6</v>
      </c>
      <c r="K46" t="s">
        <v>198</v>
      </c>
      <c r="L46" t="s">
        <v>101</v>
      </c>
      <c r="M46" t="s">
        <v>6</v>
      </c>
    </row>
    <row r="47" spans="1:13" x14ac:dyDescent="0.25">
      <c r="A47" t="s">
        <v>199</v>
      </c>
      <c r="B47" t="s">
        <v>200</v>
      </c>
      <c r="C47" t="s">
        <v>9</v>
      </c>
      <c r="D47" s="1">
        <v>35121</v>
      </c>
      <c r="E47" s="2">
        <f t="shared" si="0"/>
        <v>1996</v>
      </c>
      <c r="F47" s="3">
        <f t="shared" ca="1" si="1"/>
        <v>29.872222222222224</v>
      </c>
      <c r="G47">
        <v>32000</v>
      </c>
      <c r="H47">
        <f t="shared" si="2"/>
        <v>384000</v>
      </c>
      <c r="I47" t="s">
        <v>128</v>
      </c>
      <c r="J47">
        <v>3</v>
      </c>
      <c r="K47" t="s">
        <v>201</v>
      </c>
      <c r="L47" t="s">
        <v>202</v>
      </c>
      <c r="M47" t="s">
        <v>13</v>
      </c>
    </row>
    <row r="48" spans="1:13" x14ac:dyDescent="0.25">
      <c r="A48" t="s">
        <v>203</v>
      </c>
      <c r="B48" t="s">
        <v>204</v>
      </c>
      <c r="C48" t="s">
        <v>2</v>
      </c>
      <c r="D48" s="1">
        <v>32301</v>
      </c>
      <c r="E48" s="2">
        <f t="shared" si="0"/>
        <v>1988</v>
      </c>
      <c r="F48" s="3">
        <f t="shared" ca="1" si="1"/>
        <v>37.591666666666669</v>
      </c>
      <c r="G48">
        <v>58000</v>
      </c>
      <c r="H48">
        <f t="shared" si="2"/>
        <v>696000</v>
      </c>
      <c r="I48" t="s">
        <v>75</v>
      </c>
      <c r="J48">
        <v>10</v>
      </c>
      <c r="K48" t="s">
        <v>205</v>
      </c>
      <c r="L48" t="s">
        <v>206</v>
      </c>
      <c r="M48" t="s">
        <v>25</v>
      </c>
    </row>
    <row r="49" spans="1:13" x14ac:dyDescent="0.25">
      <c r="A49" t="s">
        <v>207</v>
      </c>
      <c r="B49" t="s">
        <v>208</v>
      </c>
      <c r="C49" t="s">
        <v>9</v>
      </c>
      <c r="D49" s="1">
        <v>35048</v>
      </c>
      <c r="E49" s="2">
        <f t="shared" si="0"/>
        <v>1995</v>
      </c>
      <c r="F49" s="3">
        <f t="shared" ca="1" si="1"/>
        <v>30.069444444444443</v>
      </c>
      <c r="G49">
        <v>34000</v>
      </c>
      <c r="H49">
        <f t="shared" si="2"/>
        <v>408000</v>
      </c>
      <c r="I49" t="s">
        <v>62</v>
      </c>
      <c r="J49">
        <v>3</v>
      </c>
      <c r="K49" t="s">
        <v>209</v>
      </c>
      <c r="L49" t="s">
        <v>210</v>
      </c>
      <c r="M49" t="s">
        <v>6</v>
      </c>
    </row>
    <row r="50" spans="1:13" x14ac:dyDescent="0.25">
      <c r="A50" t="s">
        <v>211</v>
      </c>
      <c r="B50" t="s">
        <v>212</v>
      </c>
      <c r="C50" t="s">
        <v>2</v>
      </c>
      <c r="D50" s="1">
        <v>33105</v>
      </c>
      <c r="E50" s="2">
        <f t="shared" si="0"/>
        <v>1990</v>
      </c>
      <c r="F50" s="3">
        <f t="shared" ca="1" si="1"/>
        <v>35.388888888888886</v>
      </c>
      <c r="G50">
        <v>46000</v>
      </c>
      <c r="H50">
        <f t="shared" si="2"/>
        <v>552000</v>
      </c>
      <c r="I50" t="s">
        <v>3</v>
      </c>
      <c r="J50">
        <v>7</v>
      </c>
      <c r="K50" t="s">
        <v>213</v>
      </c>
      <c r="L50" t="s">
        <v>214</v>
      </c>
      <c r="M50" t="s">
        <v>13</v>
      </c>
    </row>
    <row r="51" spans="1:13" x14ac:dyDescent="0.25">
      <c r="A51" t="s">
        <v>215</v>
      </c>
      <c r="B51" t="s">
        <v>216</v>
      </c>
      <c r="C51" t="s">
        <v>9</v>
      </c>
      <c r="D51" s="1">
        <v>35886</v>
      </c>
      <c r="E51" s="2">
        <f t="shared" si="0"/>
        <v>1998</v>
      </c>
      <c r="F51" s="3">
        <f t="shared" ca="1" si="1"/>
        <v>27.774999999999999</v>
      </c>
      <c r="G51">
        <v>28000</v>
      </c>
      <c r="H51">
        <f t="shared" si="2"/>
        <v>336000</v>
      </c>
      <c r="I51" t="s">
        <v>43</v>
      </c>
      <c r="J51">
        <v>1</v>
      </c>
      <c r="K51" t="s">
        <v>217</v>
      </c>
      <c r="L51" t="s">
        <v>218</v>
      </c>
      <c r="M51" t="s">
        <v>19</v>
      </c>
    </row>
    <row r="52" spans="1:13" x14ac:dyDescent="0.25">
      <c r="A52" t="s">
        <v>219</v>
      </c>
      <c r="B52" t="s">
        <v>220</v>
      </c>
      <c r="C52" t="s">
        <v>2</v>
      </c>
      <c r="D52" s="1">
        <v>32061</v>
      </c>
      <c r="E52" s="2">
        <f t="shared" si="0"/>
        <v>1987</v>
      </c>
      <c r="F52" s="3">
        <f t="shared" ca="1" si="1"/>
        <v>38.24722222222222</v>
      </c>
      <c r="G52">
        <v>62000</v>
      </c>
      <c r="H52">
        <f t="shared" si="2"/>
        <v>744000</v>
      </c>
      <c r="I52" t="s">
        <v>16</v>
      </c>
      <c r="J52">
        <v>12</v>
      </c>
      <c r="K52" t="s">
        <v>221</v>
      </c>
      <c r="L52" t="s">
        <v>222</v>
      </c>
      <c r="M52" t="s">
        <v>6</v>
      </c>
    </row>
    <row r="53" spans="1:13" x14ac:dyDescent="0.25">
      <c r="A53" t="s">
        <v>223</v>
      </c>
      <c r="B53" t="s">
        <v>224</v>
      </c>
      <c r="C53" t="s">
        <v>9</v>
      </c>
      <c r="D53" s="1">
        <v>34047</v>
      </c>
      <c r="E53" s="2">
        <f t="shared" si="0"/>
        <v>1993</v>
      </c>
      <c r="F53" s="3">
        <f t="shared" ca="1" si="1"/>
        <v>32.80833333333333</v>
      </c>
      <c r="G53">
        <v>37000</v>
      </c>
      <c r="H53">
        <f t="shared" si="2"/>
        <v>444000</v>
      </c>
      <c r="I53" t="s">
        <v>37</v>
      </c>
      <c r="J53">
        <v>5</v>
      </c>
      <c r="K53" t="s">
        <v>225</v>
      </c>
      <c r="L53" t="s">
        <v>226</v>
      </c>
      <c r="M53" t="s">
        <v>46</v>
      </c>
    </row>
    <row r="54" spans="1:13" x14ac:dyDescent="0.25">
      <c r="A54" t="s">
        <v>227</v>
      </c>
      <c r="B54" t="s">
        <v>228</v>
      </c>
      <c r="C54" t="s">
        <v>2</v>
      </c>
      <c r="D54" s="1">
        <v>31437</v>
      </c>
      <c r="E54" s="2">
        <f t="shared" si="0"/>
        <v>1986</v>
      </c>
      <c r="F54" s="3">
        <f t="shared" ca="1" si="1"/>
        <v>39.958333333333336</v>
      </c>
      <c r="G54">
        <v>65000</v>
      </c>
      <c r="H54">
        <f t="shared" si="2"/>
        <v>780000</v>
      </c>
      <c r="I54" t="s">
        <v>75</v>
      </c>
      <c r="J54">
        <v>14</v>
      </c>
      <c r="K54" t="s">
        <v>229</v>
      </c>
      <c r="L54" t="s">
        <v>230</v>
      </c>
      <c r="M54" t="s">
        <v>78</v>
      </c>
    </row>
    <row r="55" spans="1:13" x14ac:dyDescent="0.25">
      <c r="A55" t="s">
        <v>231</v>
      </c>
      <c r="B55" t="s">
        <v>232</v>
      </c>
      <c r="C55" t="s">
        <v>9</v>
      </c>
      <c r="D55" s="1">
        <v>35246</v>
      </c>
      <c r="E55" s="2">
        <f t="shared" si="0"/>
        <v>1996</v>
      </c>
      <c r="F55" s="3">
        <f t="shared" ca="1" si="1"/>
        <v>29.527777777777779</v>
      </c>
      <c r="G55">
        <v>33000</v>
      </c>
      <c r="H55">
        <f t="shared" si="2"/>
        <v>396000</v>
      </c>
      <c r="I55" t="s">
        <v>178</v>
      </c>
      <c r="J55">
        <v>3</v>
      </c>
      <c r="K55" t="s">
        <v>233</v>
      </c>
      <c r="L55" t="s">
        <v>234</v>
      </c>
      <c r="M55" t="s">
        <v>13</v>
      </c>
    </row>
    <row r="56" spans="1:13" x14ac:dyDescent="0.25">
      <c r="A56" t="s">
        <v>235</v>
      </c>
      <c r="B56" t="s">
        <v>236</v>
      </c>
      <c r="C56" t="s">
        <v>2</v>
      </c>
      <c r="D56" s="1">
        <v>32763</v>
      </c>
      <c r="E56" s="2">
        <f t="shared" si="0"/>
        <v>1989</v>
      </c>
      <c r="F56" s="3">
        <f t="shared" ca="1" si="1"/>
        <v>36.327777777777776</v>
      </c>
      <c r="G56">
        <v>51000</v>
      </c>
      <c r="H56">
        <f t="shared" si="2"/>
        <v>612000</v>
      </c>
      <c r="I56" t="s">
        <v>57</v>
      </c>
      <c r="J56">
        <v>8</v>
      </c>
      <c r="K56" t="s">
        <v>237</v>
      </c>
      <c r="L56" t="s">
        <v>238</v>
      </c>
      <c r="M56" t="s">
        <v>6</v>
      </c>
    </row>
    <row r="57" spans="1:13" x14ac:dyDescent="0.25">
      <c r="A57" t="s">
        <v>239</v>
      </c>
      <c r="B57" t="s">
        <v>240</v>
      </c>
      <c r="C57" t="s">
        <v>9</v>
      </c>
      <c r="D57" s="1">
        <v>35762</v>
      </c>
      <c r="E57" s="2">
        <f t="shared" si="0"/>
        <v>1997</v>
      </c>
      <c r="F57" s="3">
        <f t="shared" ca="1" si="1"/>
        <v>28.116666666666667</v>
      </c>
      <c r="G57">
        <v>29000</v>
      </c>
      <c r="H57">
        <f t="shared" si="2"/>
        <v>348000</v>
      </c>
      <c r="I57" t="s">
        <v>10</v>
      </c>
      <c r="J57">
        <v>2</v>
      </c>
      <c r="K57" t="s">
        <v>241</v>
      </c>
      <c r="L57" t="s">
        <v>242</v>
      </c>
      <c r="M57" t="s">
        <v>25</v>
      </c>
    </row>
    <row r="58" spans="1:13" x14ac:dyDescent="0.25">
      <c r="A58" t="s">
        <v>243</v>
      </c>
      <c r="B58" t="s">
        <v>244</v>
      </c>
      <c r="C58" t="s">
        <v>2</v>
      </c>
      <c r="D58" s="1">
        <v>33648</v>
      </c>
      <c r="E58" s="2">
        <f t="shared" si="0"/>
        <v>1992</v>
      </c>
      <c r="F58" s="3">
        <f t="shared" ca="1" si="1"/>
        <v>33.905555555555559</v>
      </c>
      <c r="G58">
        <v>44000</v>
      </c>
      <c r="H58">
        <f t="shared" si="2"/>
        <v>528000</v>
      </c>
      <c r="I58" t="s">
        <v>3</v>
      </c>
      <c r="J58">
        <v>5</v>
      </c>
      <c r="K58" t="s">
        <v>245</v>
      </c>
      <c r="L58" t="s">
        <v>246</v>
      </c>
      <c r="M58" t="s">
        <v>6</v>
      </c>
    </row>
    <row r="59" spans="1:13" x14ac:dyDescent="0.25">
      <c r="A59" t="s">
        <v>247</v>
      </c>
      <c r="B59" t="s">
        <v>248</v>
      </c>
      <c r="C59" t="s">
        <v>9</v>
      </c>
      <c r="D59" s="1">
        <v>34917</v>
      </c>
      <c r="E59" s="2">
        <f t="shared" si="0"/>
        <v>1995</v>
      </c>
      <c r="F59" s="3">
        <f t="shared" ca="1" si="1"/>
        <v>30.427777777777777</v>
      </c>
      <c r="G59">
        <v>36000</v>
      </c>
      <c r="H59">
        <f t="shared" si="2"/>
        <v>432000</v>
      </c>
      <c r="I59" t="s">
        <v>16</v>
      </c>
      <c r="J59">
        <v>4</v>
      </c>
      <c r="K59" t="s">
        <v>249</v>
      </c>
      <c r="L59" t="s">
        <v>250</v>
      </c>
      <c r="M59" t="s">
        <v>13</v>
      </c>
    </row>
    <row r="60" spans="1:13" x14ac:dyDescent="0.25">
      <c r="A60" t="s">
        <v>251</v>
      </c>
      <c r="B60" t="s">
        <v>252</v>
      </c>
      <c r="C60" t="s">
        <v>2</v>
      </c>
      <c r="D60" s="1">
        <v>32486</v>
      </c>
      <c r="E60" s="2">
        <f t="shared" si="0"/>
        <v>1988</v>
      </c>
      <c r="F60" s="3">
        <f t="shared" ca="1" si="1"/>
        <v>37.086111111111109</v>
      </c>
      <c r="G60">
        <v>59000</v>
      </c>
      <c r="H60">
        <f t="shared" si="2"/>
        <v>708000</v>
      </c>
      <c r="I60" t="s">
        <v>37</v>
      </c>
      <c r="J60">
        <v>10</v>
      </c>
      <c r="K60" t="s">
        <v>253</v>
      </c>
      <c r="L60" t="s">
        <v>254</v>
      </c>
      <c r="M60" t="s">
        <v>6</v>
      </c>
    </row>
    <row r="61" spans="1:13" x14ac:dyDescent="0.25">
      <c r="A61" t="s">
        <v>255</v>
      </c>
      <c r="B61" t="s">
        <v>256</v>
      </c>
      <c r="C61" t="s">
        <v>9</v>
      </c>
      <c r="D61" s="1">
        <v>34475</v>
      </c>
      <c r="E61" s="2">
        <f t="shared" si="0"/>
        <v>1994</v>
      </c>
      <c r="F61" s="3">
        <f t="shared" ca="1" si="1"/>
        <v>31.636111111111113</v>
      </c>
      <c r="G61">
        <v>34000</v>
      </c>
      <c r="H61">
        <f t="shared" si="2"/>
        <v>408000</v>
      </c>
      <c r="I61" t="s">
        <v>32</v>
      </c>
      <c r="J61">
        <v>4</v>
      </c>
      <c r="K61" t="s">
        <v>257</v>
      </c>
      <c r="L61" t="s">
        <v>258</v>
      </c>
      <c r="M61" t="s">
        <v>19</v>
      </c>
    </row>
    <row r="62" spans="1:13" x14ac:dyDescent="0.25">
      <c r="A62" t="s">
        <v>259</v>
      </c>
      <c r="B62" t="s">
        <v>260</v>
      </c>
      <c r="C62" t="s">
        <v>2</v>
      </c>
      <c r="D62" s="1">
        <v>33071</v>
      </c>
      <c r="E62" s="2">
        <f t="shared" si="0"/>
        <v>1990</v>
      </c>
      <c r="F62" s="3">
        <f t="shared" ca="1" si="1"/>
        <v>35.480555555555554</v>
      </c>
      <c r="G62">
        <v>48000</v>
      </c>
      <c r="H62">
        <f t="shared" si="2"/>
        <v>576000</v>
      </c>
      <c r="I62" t="s">
        <v>3</v>
      </c>
      <c r="J62">
        <v>7</v>
      </c>
      <c r="K62" t="s">
        <v>261</v>
      </c>
      <c r="L62" t="s">
        <v>262</v>
      </c>
      <c r="M62" t="s">
        <v>6</v>
      </c>
    </row>
    <row r="63" spans="1:13" x14ac:dyDescent="0.25">
      <c r="A63" t="s">
        <v>263</v>
      </c>
      <c r="B63" t="s">
        <v>264</v>
      </c>
      <c r="C63" t="s">
        <v>9</v>
      </c>
      <c r="D63" s="1">
        <v>35069</v>
      </c>
      <c r="E63" s="2">
        <f t="shared" si="0"/>
        <v>1996</v>
      </c>
      <c r="F63" s="3">
        <f t="shared" ca="1" si="1"/>
        <v>30.013888888888889</v>
      </c>
      <c r="G63">
        <v>31000</v>
      </c>
      <c r="H63">
        <f t="shared" si="2"/>
        <v>372000</v>
      </c>
      <c r="I63" t="s">
        <v>43</v>
      </c>
      <c r="J63">
        <v>2</v>
      </c>
      <c r="K63" t="s">
        <v>265</v>
      </c>
      <c r="L63" t="s">
        <v>266</v>
      </c>
      <c r="M63" t="s">
        <v>13</v>
      </c>
    </row>
    <row r="64" spans="1:13" x14ac:dyDescent="0.25">
      <c r="A64" t="s">
        <v>267</v>
      </c>
      <c r="B64" t="s">
        <v>268</v>
      </c>
      <c r="C64" t="s">
        <v>2</v>
      </c>
      <c r="D64" s="1">
        <v>31865</v>
      </c>
      <c r="E64" s="2">
        <f t="shared" si="0"/>
        <v>1987</v>
      </c>
      <c r="F64" s="3">
        <f t="shared" ca="1" si="1"/>
        <v>38.780555555555559</v>
      </c>
      <c r="G64">
        <v>61000</v>
      </c>
      <c r="H64">
        <f t="shared" si="2"/>
        <v>732000</v>
      </c>
      <c r="I64" t="s">
        <v>16</v>
      </c>
      <c r="J64">
        <v>11</v>
      </c>
      <c r="K64" t="s">
        <v>269</v>
      </c>
      <c r="L64" t="s">
        <v>270</v>
      </c>
      <c r="M64" t="s">
        <v>46</v>
      </c>
    </row>
    <row r="65" spans="1:13" x14ac:dyDescent="0.25">
      <c r="A65" t="s">
        <v>271</v>
      </c>
      <c r="B65" t="s">
        <v>272</v>
      </c>
      <c r="C65" t="s">
        <v>9</v>
      </c>
      <c r="D65" s="1">
        <v>34982</v>
      </c>
      <c r="E65" s="2">
        <f t="shared" si="0"/>
        <v>1995</v>
      </c>
      <c r="F65" s="3">
        <f t="shared" ca="1" si="1"/>
        <v>30.25</v>
      </c>
      <c r="G65">
        <v>35000</v>
      </c>
      <c r="H65">
        <f t="shared" si="2"/>
        <v>420000</v>
      </c>
      <c r="I65" t="s">
        <v>273</v>
      </c>
      <c r="J65">
        <v>4</v>
      </c>
      <c r="K65" t="s">
        <v>274</v>
      </c>
      <c r="L65" t="s">
        <v>275</v>
      </c>
      <c r="M65" t="s">
        <v>78</v>
      </c>
    </row>
    <row r="66" spans="1:13" x14ac:dyDescent="0.25">
      <c r="A66" t="s">
        <v>276</v>
      </c>
      <c r="B66" t="s">
        <v>277</v>
      </c>
      <c r="C66" t="s">
        <v>2</v>
      </c>
      <c r="D66" s="1">
        <v>30927</v>
      </c>
      <c r="E66" s="2">
        <f t="shared" si="0"/>
        <v>1984</v>
      </c>
      <c r="F66" s="3">
        <f t="shared" ca="1" si="1"/>
        <v>41.355555555555554</v>
      </c>
      <c r="G66">
        <v>72000</v>
      </c>
      <c r="H66">
        <f t="shared" si="2"/>
        <v>864000</v>
      </c>
      <c r="I66" t="s">
        <v>75</v>
      </c>
      <c r="J66">
        <v>16</v>
      </c>
      <c r="K66" t="s">
        <v>278</v>
      </c>
      <c r="L66" t="s">
        <v>279</v>
      </c>
      <c r="M66" t="s">
        <v>6</v>
      </c>
    </row>
    <row r="67" spans="1:13" x14ac:dyDescent="0.25">
      <c r="A67" t="s">
        <v>280</v>
      </c>
      <c r="B67" t="s">
        <v>281</v>
      </c>
      <c r="C67" t="s">
        <v>9</v>
      </c>
      <c r="D67" s="1">
        <v>35788</v>
      </c>
      <c r="E67" s="2">
        <f t="shared" ref="E67:E101" si="3">YEAR(D67)</f>
        <v>1997</v>
      </c>
      <c r="F67" s="3">
        <f t="shared" ref="F67:F101" ca="1" si="4">YEARFRAC(D67,TODAY(),0)</f>
        <v>28.044444444444444</v>
      </c>
      <c r="G67">
        <v>28000</v>
      </c>
      <c r="H67">
        <f t="shared" ref="H67:H101" si="5">G67*12</f>
        <v>336000</v>
      </c>
      <c r="I67" t="s">
        <v>62</v>
      </c>
      <c r="J67">
        <v>1</v>
      </c>
      <c r="K67" t="s">
        <v>282</v>
      </c>
      <c r="L67" t="s">
        <v>283</v>
      </c>
      <c r="M67" t="s">
        <v>13</v>
      </c>
    </row>
    <row r="68" spans="1:13" x14ac:dyDescent="0.25">
      <c r="A68" t="s">
        <v>284</v>
      </c>
      <c r="B68" t="s">
        <v>285</v>
      </c>
      <c r="C68" t="s">
        <v>2</v>
      </c>
      <c r="D68" s="1">
        <v>33397</v>
      </c>
      <c r="E68" s="2">
        <f t="shared" si="3"/>
        <v>1991</v>
      </c>
      <c r="F68" s="3">
        <f t="shared" ca="1" si="4"/>
        <v>34.588888888888889</v>
      </c>
      <c r="G68">
        <v>46000</v>
      </c>
      <c r="H68">
        <f t="shared" si="5"/>
        <v>552000</v>
      </c>
      <c r="I68" t="s">
        <v>57</v>
      </c>
      <c r="J68">
        <v>6</v>
      </c>
      <c r="K68" t="s">
        <v>286</v>
      </c>
      <c r="L68" t="s">
        <v>287</v>
      </c>
      <c r="M68" t="s">
        <v>25</v>
      </c>
    </row>
    <row r="69" spans="1:13" x14ac:dyDescent="0.25">
      <c r="A69" t="s">
        <v>288</v>
      </c>
      <c r="B69" t="s">
        <v>289</v>
      </c>
      <c r="C69" t="s">
        <v>9</v>
      </c>
      <c r="D69" s="1">
        <v>35295</v>
      </c>
      <c r="E69" s="2">
        <f t="shared" si="3"/>
        <v>1996</v>
      </c>
      <c r="F69" s="3">
        <f t="shared" ca="1" si="4"/>
        <v>29.394444444444446</v>
      </c>
      <c r="G69">
        <v>32000</v>
      </c>
      <c r="H69">
        <f t="shared" si="5"/>
        <v>384000</v>
      </c>
      <c r="I69" t="s">
        <v>22</v>
      </c>
      <c r="J69">
        <v>3</v>
      </c>
      <c r="K69" t="s">
        <v>290</v>
      </c>
      <c r="L69" t="s">
        <v>114</v>
      </c>
      <c r="M69" t="s">
        <v>6</v>
      </c>
    </row>
    <row r="70" spans="1:13" x14ac:dyDescent="0.25">
      <c r="A70" t="s">
        <v>291</v>
      </c>
      <c r="B70" t="s">
        <v>292</v>
      </c>
      <c r="C70" t="s">
        <v>2</v>
      </c>
      <c r="D70" s="1">
        <v>32625</v>
      </c>
      <c r="E70" s="2">
        <f t="shared" si="3"/>
        <v>1989</v>
      </c>
      <c r="F70" s="3">
        <f t="shared" ca="1" si="4"/>
        <v>36.702777777777776</v>
      </c>
      <c r="G70">
        <v>53000</v>
      </c>
      <c r="H70">
        <f t="shared" si="5"/>
        <v>636000</v>
      </c>
      <c r="I70" t="s">
        <v>16</v>
      </c>
      <c r="J70">
        <v>9</v>
      </c>
      <c r="K70" t="s">
        <v>293</v>
      </c>
      <c r="L70" t="s">
        <v>294</v>
      </c>
      <c r="M70" t="s">
        <v>13</v>
      </c>
    </row>
    <row r="71" spans="1:13" x14ac:dyDescent="0.25">
      <c r="A71" t="s">
        <v>295</v>
      </c>
      <c r="B71" t="s">
        <v>296</v>
      </c>
      <c r="C71" t="s">
        <v>9</v>
      </c>
      <c r="D71" s="1">
        <v>34652</v>
      </c>
      <c r="E71" s="2">
        <f t="shared" si="3"/>
        <v>1994</v>
      </c>
      <c r="F71" s="3">
        <f t="shared" ca="1" si="4"/>
        <v>31.155555555555555</v>
      </c>
      <c r="G71">
        <v>34000</v>
      </c>
      <c r="H71">
        <f t="shared" si="5"/>
        <v>408000</v>
      </c>
      <c r="I71" t="s">
        <v>53</v>
      </c>
      <c r="J71">
        <v>4</v>
      </c>
      <c r="K71" t="s">
        <v>297</v>
      </c>
      <c r="L71" t="s">
        <v>298</v>
      </c>
      <c r="M71" t="s">
        <v>40</v>
      </c>
    </row>
    <row r="72" spans="1:13" x14ac:dyDescent="0.25">
      <c r="A72" t="s">
        <v>299</v>
      </c>
      <c r="B72" t="s">
        <v>300</v>
      </c>
      <c r="C72" t="s">
        <v>2</v>
      </c>
      <c r="D72" s="1">
        <v>33634</v>
      </c>
      <c r="E72" s="2">
        <f t="shared" si="3"/>
        <v>1992</v>
      </c>
      <c r="F72" s="3">
        <f t="shared" ca="1" si="4"/>
        <v>33.944444444444443</v>
      </c>
      <c r="G72">
        <v>45000</v>
      </c>
      <c r="H72">
        <f t="shared" si="5"/>
        <v>540000</v>
      </c>
      <c r="I72" t="s">
        <v>3</v>
      </c>
      <c r="J72">
        <v>5</v>
      </c>
      <c r="K72" t="s">
        <v>301</v>
      </c>
      <c r="L72" t="s">
        <v>302</v>
      </c>
      <c r="M72" t="s">
        <v>6</v>
      </c>
    </row>
    <row r="73" spans="1:13" x14ac:dyDescent="0.25">
      <c r="A73" t="s">
        <v>303</v>
      </c>
      <c r="B73" t="s">
        <v>304</v>
      </c>
      <c r="C73" t="s">
        <v>9</v>
      </c>
      <c r="D73" s="1">
        <v>35866</v>
      </c>
      <c r="E73" s="2">
        <f t="shared" si="3"/>
        <v>1998</v>
      </c>
      <c r="F73" s="3">
        <f t="shared" ca="1" si="4"/>
        <v>27.827777777777779</v>
      </c>
      <c r="G73">
        <v>27000</v>
      </c>
      <c r="H73">
        <f t="shared" si="5"/>
        <v>324000</v>
      </c>
      <c r="I73" t="s">
        <v>104</v>
      </c>
      <c r="J73">
        <v>1</v>
      </c>
      <c r="K73" t="s">
        <v>305</v>
      </c>
      <c r="L73" t="s">
        <v>306</v>
      </c>
      <c r="M73" t="s">
        <v>13</v>
      </c>
    </row>
    <row r="74" spans="1:13" x14ac:dyDescent="0.25">
      <c r="A74" t="s">
        <v>307</v>
      </c>
      <c r="B74" t="s">
        <v>308</v>
      </c>
      <c r="C74" t="s">
        <v>2</v>
      </c>
      <c r="D74" s="1">
        <v>31555</v>
      </c>
      <c r="E74" s="2">
        <f t="shared" si="3"/>
        <v>1986</v>
      </c>
      <c r="F74" s="3">
        <f t="shared" ca="1" si="4"/>
        <v>39.630555555555553</v>
      </c>
      <c r="G74">
        <v>67000</v>
      </c>
      <c r="H74">
        <f t="shared" si="5"/>
        <v>804000</v>
      </c>
      <c r="I74" t="s">
        <v>75</v>
      </c>
      <c r="J74">
        <v>13</v>
      </c>
      <c r="K74" t="s">
        <v>309</v>
      </c>
      <c r="L74" t="s">
        <v>310</v>
      </c>
      <c r="M74" t="s">
        <v>6</v>
      </c>
    </row>
    <row r="75" spans="1:13" x14ac:dyDescent="0.25">
      <c r="A75" t="s">
        <v>311</v>
      </c>
      <c r="B75" t="s">
        <v>312</v>
      </c>
      <c r="C75" t="s">
        <v>9</v>
      </c>
      <c r="D75" s="1">
        <v>34887</v>
      </c>
      <c r="E75" s="2">
        <f t="shared" si="3"/>
        <v>1995</v>
      </c>
      <c r="F75" s="3">
        <f t="shared" ca="1" si="4"/>
        <v>30.508333333333333</v>
      </c>
      <c r="G75">
        <v>35000</v>
      </c>
      <c r="H75">
        <f t="shared" si="5"/>
        <v>420000</v>
      </c>
      <c r="I75" t="s">
        <v>16</v>
      </c>
      <c r="J75">
        <v>4</v>
      </c>
      <c r="K75" t="s">
        <v>313</v>
      </c>
      <c r="L75" t="s">
        <v>314</v>
      </c>
      <c r="M75" t="s">
        <v>46</v>
      </c>
    </row>
    <row r="76" spans="1:13" x14ac:dyDescent="0.25">
      <c r="A76" t="s">
        <v>315</v>
      </c>
      <c r="B76" t="s">
        <v>316</v>
      </c>
      <c r="C76" t="s">
        <v>2</v>
      </c>
      <c r="D76" s="1">
        <v>32432</v>
      </c>
      <c r="E76" s="2">
        <f t="shared" si="3"/>
        <v>1988</v>
      </c>
      <c r="F76" s="3">
        <f t="shared" ca="1" si="4"/>
        <v>37.233333333333334</v>
      </c>
      <c r="G76">
        <v>56000</v>
      </c>
      <c r="H76">
        <f t="shared" si="5"/>
        <v>672000</v>
      </c>
      <c r="I76" t="s">
        <v>3</v>
      </c>
      <c r="J76">
        <v>9</v>
      </c>
      <c r="K76" t="s">
        <v>317</v>
      </c>
      <c r="L76" t="s">
        <v>318</v>
      </c>
      <c r="M76" t="s">
        <v>78</v>
      </c>
    </row>
    <row r="77" spans="1:13" x14ac:dyDescent="0.25">
      <c r="A77" t="s">
        <v>319</v>
      </c>
      <c r="B77" t="s">
        <v>320</v>
      </c>
      <c r="C77" t="s">
        <v>9</v>
      </c>
      <c r="D77" s="1">
        <v>35489</v>
      </c>
      <c r="E77" s="2">
        <f t="shared" si="3"/>
        <v>1997</v>
      </c>
      <c r="F77" s="3">
        <f t="shared" ca="1" si="4"/>
        <v>28.861111111111111</v>
      </c>
      <c r="G77">
        <v>29000</v>
      </c>
      <c r="H77">
        <f t="shared" si="5"/>
        <v>348000</v>
      </c>
      <c r="I77" t="s">
        <v>161</v>
      </c>
      <c r="J77">
        <v>2</v>
      </c>
      <c r="K77" t="s">
        <v>321</v>
      </c>
      <c r="L77" t="s">
        <v>322</v>
      </c>
      <c r="M77" t="s">
        <v>25</v>
      </c>
    </row>
    <row r="78" spans="1:13" x14ac:dyDescent="0.25">
      <c r="A78" t="s">
        <v>323</v>
      </c>
      <c r="B78" t="s">
        <v>324</v>
      </c>
      <c r="C78" t="s">
        <v>2</v>
      </c>
      <c r="D78" s="1">
        <v>31202</v>
      </c>
      <c r="E78" s="2">
        <f t="shared" si="3"/>
        <v>1985</v>
      </c>
      <c r="F78" s="3">
        <f t="shared" ca="1" si="4"/>
        <v>40.6</v>
      </c>
      <c r="G78">
        <v>69000</v>
      </c>
      <c r="H78">
        <f t="shared" si="5"/>
        <v>828000</v>
      </c>
      <c r="I78" t="s">
        <v>16</v>
      </c>
      <c r="J78">
        <v>15</v>
      </c>
      <c r="K78" t="s">
        <v>325</v>
      </c>
      <c r="L78" t="s">
        <v>326</v>
      </c>
      <c r="M78" t="s">
        <v>6</v>
      </c>
    </row>
    <row r="79" spans="1:13" x14ac:dyDescent="0.25">
      <c r="A79" t="s">
        <v>327</v>
      </c>
      <c r="B79" t="s">
        <v>328</v>
      </c>
      <c r="C79" t="s">
        <v>9</v>
      </c>
      <c r="D79" s="1">
        <v>35317</v>
      </c>
      <c r="E79" s="2">
        <f t="shared" si="3"/>
        <v>1996</v>
      </c>
      <c r="F79" s="3">
        <f t="shared" ca="1" si="4"/>
        <v>29.336111111111112</v>
      </c>
      <c r="G79">
        <v>33000</v>
      </c>
      <c r="H79">
        <f t="shared" si="5"/>
        <v>396000</v>
      </c>
      <c r="I79" t="s">
        <v>178</v>
      </c>
      <c r="J79">
        <v>3</v>
      </c>
      <c r="K79" t="s">
        <v>329</v>
      </c>
      <c r="L79" t="s">
        <v>330</v>
      </c>
      <c r="M79" t="s">
        <v>13</v>
      </c>
    </row>
    <row r="80" spans="1:13" x14ac:dyDescent="0.25">
      <c r="A80" t="s">
        <v>331</v>
      </c>
      <c r="B80" t="s">
        <v>332</v>
      </c>
      <c r="C80" t="s">
        <v>2</v>
      </c>
      <c r="D80" s="1">
        <v>33594</v>
      </c>
      <c r="E80" s="2">
        <f t="shared" si="3"/>
        <v>1991</v>
      </c>
      <c r="F80" s="3">
        <f t="shared" ca="1" si="4"/>
        <v>34.049999999999997</v>
      </c>
      <c r="G80">
        <v>47000</v>
      </c>
      <c r="H80">
        <f t="shared" si="5"/>
        <v>564000</v>
      </c>
      <c r="I80" t="s">
        <v>3</v>
      </c>
      <c r="J80">
        <v>6</v>
      </c>
      <c r="K80" t="s">
        <v>117</v>
      </c>
      <c r="L80" t="s">
        <v>29</v>
      </c>
      <c r="M80" t="s">
        <v>6</v>
      </c>
    </row>
    <row r="81" spans="1:13" x14ac:dyDescent="0.25">
      <c r="A81" t="s">
        <v>333</v>
      </c>
      <c r="B81" t="s">
        <v>334</v>
      </c>
      <c r="C81" t="s">
        <v>9</v>
      </c>
      <c r="D81" s="1">
        <v>34441</v>
      </c>
      <c r="E81" s="2">
        <f t="shared" si="3"/>
        <v>1994</v>
      </c>
      <c r="F81" s="3">
        <f t="shared" ca="1" si="4"/>
        <v>31.730555555555554</v>
      </c>
      <c r="G81">
        <v>36000</v>
      </c>
      <c r="H81">
        <f t="shared" si="5"/>
        <v>432000</v>
      </c>
      <c r="I81" t="s">
        <v>32</v>
      </c>
      <c r="J81">
        <v>5</v>
      </c>
      <c r="K81" t="s">
        <v>335</v>
      </c>
      <c r="L81" t="s">
        <v>336</v>
      </c>
      <c r="M81" t="s">
        <v>46</v>
      </c>
    </row>
    <row r="82" spans="1:13" x14ac:dyDescent="0.25">
      <c r="A82" t="s">
        <v>337</v>
      </c>
      <c r="B82" t="s">
        <v>338</v>
      </c>
      <c r="C82" t="s">
        <v>2</v>
      </c>
      <c r="D82" s="1">
        <v>33086</v>
      </c>
      <c r="E82" s="2">
        <f t="shared" si="3"/>
        <v>1990</v>
      </c>
      <c r="F82" s="3">
        <f t="shared" ca="1" si="4"/>
        <v>35.44166666666667</v>
      </c>
      <c r="G82">
        <v>50000</v>
      </c>
      <c r="H82">
        <f t="shared" si="5"/>
        <v>600000</v>
      </c>
      <c r="I82" t="s">
        <v>57</v>
      </c>
      <c r="J82">
        <v>8</v>
      </c>
      <c r="K82" t="s">
        <v>339</v>
      </c>
      <c r="L82" t="s">
        <v>340</v>
      </c>
      <c r="M82" t="s">
        <v>6</v>
      </c>
    </row>
    <row r="83" spans="1:13" x14ac:dyDescent="0.25">
      <c r="A83" t="s">
        <v>341</v>
      </c>
      <c r="B83" t="s">
        <v>342</v>
      </c>
      <c r="C83" t="s">
        <v>9</v>
      </c>
      <c r="D83" s="1">
        <v>35450</v>
      </c>
      <c r="E83" s="2">
        <f t="shared" si="3"/>
        <v>1997</v>
      </c>
      <c r="F83" s="3">
        <f t="shared" ca="1" si="4"/>
        <v>28.972222222222221</v>
      </c>
      <c r="G83">
        <v>30000</v>
      </c>
      <c r="H83">
        <f t="shared" si="5"/>
        <v>360000</v>
      </c>
      <c r="I83" t="s">
        <v>22</v>
      </c>
      <c r="J83">
        <v>2</v>
      </c>
      <c r="K83" t="s">
        <v>343</v>
      </c>
      <c r="L83" t="s">
        <v>344</v>
      </c>
      <c r="M83" t="s">
        <v>13</v>
      </c>
    </row>
    <row r="84" spans="1:13" x14ac:dyDescent="0.25">
      <c r="A84" t="s">
        <v>345</v>
      </c>
      <c r="B84" t="s">
        <v>346</v>
      </c>
      <c r="C84" t="s">
        <v>2</v>
      </c>
      <c r="D84" s="1">
        <v>32573</v>
      </c>
      <c r="E84" s="2">
        <f t="shared" si="3"/>
        <v>1989</v>
      </c>
      <c r="F84" s="3">
        <f t="shared" ca="1" si="4"/>
        <v>36.844444444444441</v>
      </c>
      <c r="G84">
        <v>54000</v>
      </c>
      <c r="H84">
        <f t="shared" si="5"/>
        <v>648000</v>
      </c>
      <c r="I84" t="s">
        <v>37</v>
      </c>
      <c r="J84">
        <v>9</v>
      </c>
      <c r="K84" t="s">
        <v>347</v>
      </c>
      <c r="L84" t="s">
        <v>348</v>
      </c>
      <c r="M84" t="s">
        <v>6</v>
      </c>
    </row>
    <row r="85" spans="1:13" x14ac:dyDescent="0.25">
      <c r="A85" t="s">
        <v>349</v>
      </c>
      <c r="B85" t="s">
        <v>350</v>
      </c>
      <c r="C85" t="s">
        <v>9</v>
      </c>
      <c r="D85" s="1">
        <v>34848</v>
      </c>
      <c r="E85" s="2">
        <f t="shared" si="3"/>
        <v>1995</v>
      </c>
      <c r="F85" s="3">
        <f t="shared" ca="1" si="4"/>
        <v>30.613888888888887</v>
      </c>
      <c r="G85">
        <v>34000</v>
      </c>
      <c r="H85">
        <f t="shared" si="5"/>
        <v>408000</v>
      </c>
      <c r="I85" t="s">
        <v>128</v>
      </c>
      <c r="J85">
        <v>4</v>
      </c>
      <c r="K85" t="s">
        <v>117</v>
      </c>
      <c r="L85" t="s">
        <v>29</v>
      </c>
      <c r="M85" t="s">
        <v>78</v>
      </c>
    </row>
    <row r="86" spans="1:13" x14ac:dyDescent="0.25">
      <c r="A86" t="s">
        <v>351</v>
      </c>
      <c r="B86" t="s">
        <v>352</v>
      </c>
      <c r="C86" t="s">
        <v>2</v>
      </c>
      <c r="D86" s="1">
        <v>32094</v>
      </c>
      <c r="E86" s="2">
        <f t="shared" si="3"/>
        <v>1987</v>
      </c>
      <c r="F86" s="3">
        <f t="shared" ca="1" si="4"/>
        <v>38.158333333333331</v>
      </c>
      <c r="G86">
        <v>63000</v>
      </c>
      <c r="H86">
        <f t="shared" si="5"/>
        <v>756000</v>
      </c>
      <c r="I86" t="s">
        <v>75</v>
      </c>
      <c r="J86">
        <v>12</v>
      </c>
      <c r="K86" t="s">
        <v>353</v>
      </c>
      <c r="L86" t="s">
        <v>354</v>
      </c>
      <c r="M86" t="s">
        <v>6</v>
      </c>
    </row>
    <row r="87" spans="1:13" x14ac:dyDescent="0.25">
      <c r="A87" t="s">
        <v>355</v>
      </c>
      <c r="B87" t="s">
        <v>356</v>
      </c>
      <c r="C87" t="s">
        <v>9</v>
      </c>
      <c r="D87" s="1">
        <v>35971</v>
      </c>
      <c r="E87" s="2">
        <f t="shared" si="3"/>
        <v>1998</v>
      </c>
      <c r="F87" s="3">
        <f t="shared" ca="1" si="4"/>
        <v>27.541666666666668</v>
      </c>
      <c r="G87">
        <v>27000</v>
      </c>
      <c r="H87">
        <f t="shared" si="5"/>
        <v>324000</v>
      </c>
      <c r="I87" t="s">
        <v>43</v>
      </c>
      <c r="J87">
        <v>1</v>
      </c>
      <c r="K87" t="s">
        <v>357</v>
      </c>
      <c r="L87" t="s">
        <v>358</v>
      </c>
      <c r="M87" t="s">
        <v>19</v>
      </c>
    </row>
    <row r="88" spans="1:13" x14ac:dyDescent="0.25">
      <c r="A88" t="s">
        <v>359</v>
      </c>
      <c r="B88" t="s">
        <v>360</v>
      </c>
      <c r="C88" t="s">
        <v>2</v>
      </c>
      <c r="D88" s="1">
        <v>31461</v>
      </c>
      <c r="E88" s="2">
        <f t="shared" si="3"/>
        <v>1986</v>
      </c>
      <c r="F88" s="3">
        <f t="shared" ca="1" si="4"/>
        <v>39.894444444444446</v>
      </c>
      <c r="G88">
        <v>66000</v>
      </c>
      <c r="H88">
        <f t="shared" si="5"/>
        <v>792000</v>
      </c>
      <c r="I88" t="s">
        <v>16</v>
      </c>
      <c r="J88">
        <v>14</v>
      </c>
      <c r="K88" t="s">
        <v>361</v>
      </c>
      <c r="L88" t="s">
        <v>362</v>
      </c>
      <c r="M88" t="s">
        <v>13</v>
      </c>
    </row>
    <row r="89" spans="1:13" x14ac:dyDescent="0.25">
      <c r="A89" t="s">
        <v>363</v>
      </c>
      <c r="B89" t="s">
        <v>364</v>
      </c>
      <c r="C89" t="s">
        <v>9</v>
      </c>
      <c r="D89" s="1">
        <v>34216</v>
      </c>
      <c r="E89" s="2">
        <f t="shared" si="3"/>
        <v>1993</v>
      </c>
      <c r="F89" s="3">
        <f t="shared" ca="1" si="4"/>
        <v>32.35</v>
      </c>
      <c r="G89">
        <v>38000</v>
      </c>
      <c r="H89">
        <f t="shared" si="5"/>
        <v>456000</v>
      </c>
      <c r="I89" t="s">
        <v>37</v>
      </c>
      <c r="J89">
        <v>6</v>
      </c>
      <c r="K89" t="s">
        <v>117</v>
      </c>
      <c r="L89" t="s">
        <v>29</v>
      </c>
      <c r="M89" t="s">
        <v>6</v>
      </c>
    </row>
    <row r="90" spans="1:13" x14ac:dyDescent="0.25">
      <c r="A90" t="s">
        <v>365</v>
      </c>
      <c r="B90" t="s">
        <v>366</v>
      </c>
      <c r="C90" t="s">
        <v>2</v>
      </c>
      <c r="D90" s="1">
        <v>32354</v>
      </c>
      <c r="E90" s="2">
        <f t="shared" si="3"/>
        <v>1988</v>
      </c>
      <c r="F90" s="3">
        <f t="shared" ca="1" si="4"/>
        <v>37.444444444444443</v>
      </c>
      <c r="G90">
        <v>55000</v>
      </c>
      <c r="H90">
        <f t="shared" si="5"/>
        <v>660000</v>
      </c>
      <c r="I90" t="s">
        <v>3</v>
      </c>
      <c r="J90">
        <v>10</v>
      </c>
      <c r="K90" t="s">
        <v>367</v>
      </c>
      <c r="L90" t="s">
        <v>368</v>
      </c>
      <c r="M90" t="s">
        <v>78</v>
      </c>
    </row>
    <row r="91" spans="1:13" x14ac:dyDescent="0.25">
      <c r="A91" t="s">
        <v>369</v>
      </c>
      <c r="B91" t="s">
        <v>370</v>
      </c>
      <c r="C91" t="s">
        <v>9</v>
      </c>
      <c r="D91" s="1">
        <v>35401</v>
      </c>
      <c r="E91" s="2">
        <f t="shared" si="3"/>
        <v>1996</v>
      </c>
      <c r="F91" s="3">
        <f t="shared" ca="1" si="4"/>
        <v>29.105555555555554</v>
      </c>
      <c r="G91">
        <v>32000</v>
      </c>
      <c r="H91">
        <f t="shared" si="5"/>
        <v>384000</v>
      </c>
      <c r="I91" t="s">
        <v>10</v>
      </c>
      <c r="J91">
        <v>3</v>
      </c>
      <c r="K91" t="s">
        <v>371</v>
      </c>
      <c r="L91" t="s">
        <v>372</v>
      </c>
      <c r="M91" t="s">
        <v>25</v>
      </c>
    </row>
    <row r="92" spans="1:13" x14ac:dyDescent="0.25">
      <c r="A92" t="s">
        <v>373</v>
      </c>
      <c r="B92" t="s">
        <v>374</v>
      </c>
      <c r="C92" t="s">
        <v>2</v>
      </c>
      <c r="D92" s="1">
        <v>33343</v>
      </c>
      <c r="E92" s="2">
        <f t="shared" si="3"/>
        <v>1991</v>
      </c>
      <c r="F92" s="3">
        <f t="shared" ca="1" si="4"/>
        <v>34.736111111111114</v>
      </c>
      <c r="G92">
        <v>46000</v>
      </c>
      <c r="H92">
        <f t="shared" si="5"/>
        <v>552000</v>
      </c>
      <c r="I92" t="s">
        <v>57</v>
      </c>
      <c r="J92">
        <v>6</v>
      </c>
      <c r="K92" t="s">
        <v>375</v>
      </c>
      <c r="L92" t="s">
        <v>376</v>
      </c>
      <c r="M92" t="s">
        <v>6</v>
      </c>
    </row>
    <row r="93" spans="1:13" x14ac:dyDescent="0.25">
      <c r="A93" t="s">
        <v>377</v>
      </c>
      <c r="B93" t="s">
        <v>378</v>
      </c>
      <c r="C93" t="s">
        <v>9</v>
      </c>
      <c r="D93" s="1">
        <v>35663</v>
      </c>
      <c r="E93" s="2">
        <f t="shared" si="3"/>
        <v>1997</v>
      </c>
      <c r="F93" s="3">
        <f t="shared" ca="1" si="4"/>
        <v>28.386111111111113</v>
      </c>
      <c r="G93">
        <v>30000</v>
      </c>
      <c r="H93">
        <f t="shared" si="5"/>
        <v>360000</v>
      </c>
      <c r="I93" t="s">
        <v>104</v>
      </c>
      <c r="J93">
        <v>2</v>
      </c>
      <c r="K93" t="s">
        <v>379</v>
      </c>
      <c r="L93" t="s">
        <v>380</v>
      </c>
      <c r="M93" t="s">
        <v>13</v>
      </c>
    </row>
    <row r="94" spans="1:13" x14ac:dyDescent="0.25">
      <c r="A94" t="s">
        <v>381</v>
      </c>
      <c r="B94" t="s">
        <v>382</v>
      </c>
      <c r="C94" t="s">
        <v>2</v>
      </c>
      <c r="D94" s="1">
        <v>33886</v>
      </c>
      <c r="E94" s="2">
        <f t="shared" si="3"/>
        <v>1992</v>
      </c>
      <c r="F94" s="3">
        <f t="shared" ca="1" si="4"/>
        <v>33.25277777777778</v>
      </c>
      <c r="G94">
        <v>49000</v>
      </c>
      <c r="H94">
        <f t="shared" si="5"/>
        <v>588000</v>
      </c>
      <c r="I94" t="s">
        <v>3</v>
      </c>
      <c r="J94">
        <v>7</v>
      </c>
      <c r="K94" t="s">
        <v>383</v>
      </c>
      <c r="L94" t="s">
        <v>125</v>
      </c>
      <c r="M94" t="s">
        <v>6</v>
      </c>
    </row>
    <row r="95" spans="1:13" x14ac:dyDescent="0.25">
      <c r="A95" t="s">
        <v>384</v>
      </c>
      <c r="B95" t="s">
        <v>385</v>
      </c>
      <c r="C95" t="s">
        <v>9</v>
      </c>
      <c r="D95" s="1">
        <v>34404</v>
      </c>
      <c r="E95" s="2">
        <f t="shared" si="3"/>
        <v>1994</v>
      </c>
      <c r="F95" s="3">
        <f t="shared" ca="1" si="4"/>
        <v>31.830555555555556</v>
      </c>
      <c r="G95">
        <v>35000</v>
      </c>
      <c r="H95">
        <f t="shared" si="5"/>
        <v>420000</v>
      </c>
      <c r="I95" t="s">
        <v>16</v>
      </c>
      <c r="J95">
        <v>5</v>
      </c>
      <c r="K95" t="s">
        <v>386</v>
      </c>
      <c r="L95" t="s">
        <v>387</v>
      </c>
      <c r="M95" t="s">
        <v>46</v>
      </c>
    </row>
    <row r="96" spans="1:13" x14ac:dyDescent="0.25">
      <c r="A96" t="s">
        <v>388</v>
      </c>
      <c r="B96" t="s">
        <v>389</v>
      </c>
      <c r="C96" t="s">
        <v>2</v>
      </c>
      <c r="D96" s="1">
        <v>31054</v>
      </c>
      <c r="E96" s="2">
        <f t="shared" si="3"/>
        <v>1985</v>
      </c>
      <c r="F96" s="3">
        <f t="shared" ca="1" si="4"/>
        <v>41.008333333333333</v>
      </c>
      <c r="G96">
        <v>71000</v>
      </c>
      <c r="H96">
        <f t="shared" si="5"/>
        <v>852000</v>
      </c>
      <c r="I96" t="s">
        <v>75</v>
      </c>
      <c r="J96">
        <v>17</v>
      </c>
      <c r="K96" t="s">
        <v>117</v>
      </c>
      <c r="L96" t="s">
        <v>29</v>
      </c>
      <c r="M96" t="s">
        <v>78</v>
      </c>
    </row>
    <row r="97" spans="1:13" x14ac:dyDescent="0.25">
      <c r="A97" t="s">
        <v>390</v>
      </c>
      <c r="B97" t="s">
        <v>391</v>
      </c>
      <c r="C97" t="s">
        <v>9</v>
      </c>
      <c r="D97" s="1">
        <v>35234</v>
      </c>
      <c r="E97" s="2">
        <f t="shared" si="3"/>
        <v>1996</v>
      </c>
      <c r="F97" s="3">
        <f t="shared" ca="1" si="4"/>
        <v>29.56111111111111</v>
      </c>
      <c r="G97">
        <v>33000</v>
      </c>
      <c r="H97">
        <f t="shared" si="5"/>
        <v>396000</v>
      </c>
      <c r="I97" t="s">
        <v>22</v>
      </c>
      <c r="J97">
        <v>3</v>
      </c>
      <c r="K97" t="s">
        <v>392</v>
      </c>
      <c r="L97" t="s">
        <v>393</v>
      </c>
      <c r="M97" t="s">
        <v>6</v>
      </c>
    </row>
    <row r="98" spans="1:13" x14ac:dyDescent="0.25">
      <c r="A98" t="s">
        <v>394</v>
      </c>
      <c r="B98" t="s">
        <v>395</v>
      </c>
      <c r="C98" t="s">
        <v>2</v>
      </c>
      <c r="D98" s="1">
        <v>32777</v>
      </c>
      <c r="E98" s="2">
        <f t="shared" si="3"/>
        <v>1989</v>
      </c>
      <c r="F98" s="3">
        <f t="shared" ca="1" si="4"/>
        <v>36.288888888888891</v>
      </c>
      <c r="G98">
        <v>57000</v>
      </c>
      <c r="H98">
        <f t="shared" si="5"/>
        <v>684000</v>
      </c>
      <c r="I98" t="s">
        <v>37</v>
      </c>
      <c r="J98">
        <v>10</v>
      </c>
      <c r="K98" t="s">
        <v>396</v>
      </c>
      <c r="L98" t="s">
        <v>397</v>
      </c>
      <c r="M98" t="s">
        <v>13</v>
      </c>
    </row>
    <row r="99" spans="1:13" x14ac:dyDescent="0.25">
      <c r="A99" t="s">
        <v>398</v>
      </c>
      <c r="B99" t="s">
        <v>399</v>
      </c>
      <c r="C99" t="s">
        <v>9</v>
      </c>
      <c r="D99" s="1">
        <v>34738</v>
      </c>
      <c r="E99" s="2">
        <f t="shared" si="3"/>
        <v>1995</v>
      </c>
      <c r="F99" s="3">
        <f t="shared" ca="1" si="4"/>
        <v>30.922222222222221</v>
      </c>
      <c r="G99">
        <v>36000</v>
      </c>
      <c r="H99">
        <f t="shared" si="5"/>
        <v>432000</v>
      </c>
      <c r="I99" t="s">
        <v>32</v>
      </c>
      <c r="J99">
        <v>5</v>
      </c>
      <c r="K99" t="s">
        <v>400</v>
      </c>
      <c r="L99" t="s">
        <v>401</v>
      </c>
      <c r="M99" t="s">
        <v>19</v>
      </c>
    </row>
    <row r="100" spans="1:13" x14ac:dyDescent="0.25">
      <c r="A100" t="s">
        <v>402</v>
      </c>
      <c r="B100" t="s">
        <v>403</v>
      </c>
      <c r="C100" t="s">
        <v>2</v>
      </c>
      <c r="D100" s="1">
        <v>32125</v>
      </c>
      <c r="E100" s="2">
        <f t="shared" si="3"/>
        <v>1987</v>
      </c>
      <c r="F100" s="3">
        <f t="shared" ca="1" si="4"/>
        <v>38.072222222222223</v>
      </c>
      <c r="G100">
        <v>64000</v>
      </c>
      <c r="H100">
        <f t="shared" si="5"/>
        <v>768000</v>
      </c>
      <c r="I100" t="s">
        <v>16</v>
      </c>
      <c r="J100">
        <v>13</v>
      </c>
      <c r="K100" t="s">
        <v>404</v>
      </c>
      <c r="L100" t="s">
        <v>405</v>
      </c>
      <c r="M100" t="s">
        <v>6</v>
      </c>
    </row>
    <row r="101" spans="1:13" x14ac:dyDescent="0.25">
      <c r="A101" t="s">
        <v>406</v>
      </c>
      <c r="B101" t="s">
        <v>407</v>
      </c>
      <c r="C101" t="s">
        <v>9</v>
      </c>
      <c r="D101" s="1">
        <v>36095</v>
      </c>
      <c r="E101" s="2">
        <f t="shared" si="3"/>
        <v>1998</v>
      </c>
      <c r="F101" s="3">
        <f t="shared" ca="1" si="4"/>
        <v>27.202777777777779</v>
      </c>
      <c r="G101">
        <v>28000</v>
      </c>
      <c r="H101">
        <f t="shared" si="5"/>
        <v>336000</v>
      </c>
      <c r="I101" t="s">
        <v>88</v>
      </c>
      <c r="J101">
        <v>1</v>
      </c>
      <c r="K101" t="s">
        <v>408</v>
      </c>
      <c r="L101" t="s">
        <v>409</v>
      </c>
      <c r="M101" t="s">
        <v>78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upgradecomputers.edu@gmail.com</cp:lastModifiedBy>
  <dcterms:created xsi:type="dcterms:W3CDTF">2025-12-30T10:06:43Z</dcterms:created>
  <dcterms:modified xsi:type="dcterms:W3CDTF">2026-01-10T09:09:57Z</dcterms:modified>
</cp:coreProperties>
</file>